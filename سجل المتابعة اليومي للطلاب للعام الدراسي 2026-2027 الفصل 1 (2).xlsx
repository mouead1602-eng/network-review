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qatareducation-my.sharepoint.com/personal/j_adem0101_education_qa/Documents/2026-2027/الفصل الاول/سجل المتابعة/السجل/"/>
    </mc:Choice>
  </mc:AlternateContent>
  <xr:revisionPtr revIDLastSave="103" documentId="8_{99574B6B-971E-463A-91B3-704D9E04A1C2}" xr6:coauthVersionLast="47" xr6:coauthVersionMax="47" xr10:uidLastSave="{2D26AF01-728C-4B76-9364-1497385350F8}"/>
  <bookViews>
    <workbookView xWindow="-120" yWindow="-120" windowWidth="20730" windowHeight="11040" firstSheet="2" activeTab="3" xr2:uid="{00000000-000D-0000-FFFF-FFFF00000000}"/>
  </bookViews>
  <sheets>
    <sheet name="لوحة التحكم" sheetId="1" r:id="rId1"/>
    <sheet name="الإعدادات" sheetId="2" r:id="rId2"/>
    <sheet name="دليل الاستخدام" sheetId="9" r:id="rId3"/>
    <sheet name="إعداد الشعب" sheetId="10" r:id="rId4"/>
    <sheet name="لوحة الشعب" sheetId="11" r:id="rId5"/>
    <sheet name="شعبة 01" sheetId="12" r:id="rId6"/>
    <sheet name="شعبة 02" sheetId="13" r:id="rId7"/>
    <sheet name="شعبة 03" sheetId="14" r:id="rId8"/>
    <sheet name="شعبة 04" sheetId="15" r:id="rId9"/>
    <sheet name="شعبة 05" sheetId="16" r:id="rId10"/>
    <sheet name="شعبة 06" sheetId="17" r:id="rId11"/>
    <sheet name="شعبة 07" sheetId="18" r:id="rId12"/>
    <sheet name="شعبة 08" sheetId="19" r:id="rId13"/>
    <sheet name="شعبة 09" sheetId="20" r:id="rId14"/>
    <sheet name="شعبة 10" sheetId="21" r:id="rId15"/>
    <sheet name="شعبة 11" sheetId="22" r:id="rId16"/>
    <sheet name="شعبة 12" sheetId="23" r:id="rId17"/>
    <sheet name="شعبة 13" sheetId="24" r:id="rId18"/>
    <sheet name="شعبة 14" sheetId="25" r:id="rId19"/>
    <sheet name="شعبة 15" sheetId="26" r:id="rId20"/>
    <sheet name="شعبة 16" sheetId="27" r:id="rId21"/>
    <sheet name="شعبة 17" sheetId="28" r:id="rId22"/>
    <sheet name="شعبة 18" sheetId="29" r:id="rId23"/>
    <sheet name="شعبة 19" sheetId="30" r:id="rId24"/>
    <sheet name="شعبة 20" sheetId="31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0" i="31" l="1"/>
  <c r="A230" i="31"/>
  <c r="B229" i="31"/>
  <c r="A229" i="31"/>
  <c r="W228" i="31"/>
  <c r="V228" i="31"/>
  <c r="U228" i="31"/>
  <c r="T228" i="31"/>
  <c r="B228" i="31"/>
  <c r="S228" i="31" s="1"/>
  <c r="A228" i="31"/>
  <c r="W227" i="31"/>
  <c r="V227" i="31"/>
  <c r="U227" i="31"/>
  <c r="T227" i="31"/>
  <c r="S227" i="31"/>
  <c r="R227" i="31"/>
  <c r="B227" i="31"/>
  <c r="Q227" i="31" s="1"/>
  <c r="A227" i="31"/>
  <c r="U226" i="31"/>
  <c r="T226" i="31"/>
  <c r="S226" i="31"/>
  <c r="R226" i="31"/>
  <c r="Q226" i="31"/>
  <c r="P226" i="31"/>
  <c r="B226" i="31"/>
  <c r="W226" i="31" s="1"/>
  <c r="A226" i="31"/>
  <c r="R225" i="31"/>
  <c r="Q225" i="31"/>
  <c r="B225" i="31"/>
  <c r="A225" i="31"/>
  <c r="Q224" i="31"/>
  <c r="B224" i="31"/>
  <c r="A224" i="31"/>
  <c r="V223" i="31"/>
  <c r="B223" i="31"/>
  <c r="A223" i="31"/>
  <c r="W222" i="31"/>
  <c r="V222" i="31"/>
  <c r="U222" i="31"/>
  <c r="T222" i="31"/>
  <c r="S222" i="31"/>
  <c r="B222" i="31"/>
  <c r="R222" i="31" s="1"/>
  <c r="A222" i="31"/>
  <c r="W221" i="31"/>
  <c r="V221" i="31"/>
  <c r="U221" i="31"/>
  <c r="T221" i="31"/>
  <c r="S221" i="31"/>
  <c r="R221" i="31"/>
  <c r="Q221" i="31"/>
  <c r="B221" i="31"/>
  <c r="P221" i="31" s="1"/>
  <c r="A221" i="31"/>
  <c r="U220" i="31"/>
  <c r="T220" i="31"/>
  <c r="S220" i="31"/>
  <c r="Q220" i="31"/>
  <c r="P220" i="31"/>
  <c r="B220" i="31"/>
  <c r="W220" i="31" s="1"/>
  <c r="A220" i="31"/>
  <c r="R219" i="31"/>
  <c r="Q219" i="31"/>
  <c r="B219" i="31"/>
  <c r="A219" i="31"/>
  <c r="Q218" i="31"/>
  <c r="B218" i="31"/>
  <c r="A218" i="31"/>
  <c r="V217" i="31"/>
  <c r="B217" i="31"/>
  <c r="A217" i="31"/>
  <c r="W216" i="31"/>
  <c r="V216" i="31"/>
  <c r="U216" i="31"/>
  <c r="T216" i="31"/>
  <c r="S216" i="31"/>
  <c r="B216" i="31"/>
  <c r="R216" i="31" s="1"/>
  <c r="A216" i="31"/>
  <c r="W215" i="31"/>
  <c r="V215" i="31"/>
  <c r="U215" i="31"/>
  <c r="T215" i="31"/>
  <c r="S215" i="31"/>
  <c r="R215" i="31"/>
  <c r="Q215" i="31"/>
  <c r="B215" i="31"/>
  <c r="P215" i="31" s="1"/>
  <c r="A215" i="31"/>
  <c r="U214" i="31"/>
  <c r="T214" i="31"/>
  <c r="S214" i="31"/>
  <c r="R214" i="31"/>
  <c r="Q214" i="31"/>
  <c r="P214" i="31"/>
  <c r="B214" i="31"/>
  <c r="W214" i="31" s="1"/>
  <c r="A214" i="31"/>
  <c r="B213" i="31"/>
  <c r="A213" i="31"/>
  <c r="B212" i="31"/>
  <c r="A212" i="31"/>
  <c r="B211" i="31"/>
  <c r="A211" i="31"/>
  <c r="W210" i="31"/>
  <c r="V210" i="31"/>
  <c r="U210" i="31"/>
  <c r="T210" i="31"/>
  <c r="S210" i="31"/>
  <c r="B210" i="31"/>
  <c r="R210" i="31" s="1"/>
  <c r="A210" i="31"/>
  <c r="W209" i="31"/>
  <c r="V209" i="31"/>
  <c r="U209" i="31"/>
  <c r="T209" i="31"/>
  <c r="S209" i="31"/>
  <c r="R209" i="31"/>
  <c r="Q209" i="31"/>
  <c r="B209" i="31"/>
  <c r="P209" i="31" s="1"/>
  <c r="A209" i="31"/>
  <c r="U208" i="31"/>
  <c r="T208" i="31"/>
  <c r="S208" i="31"/>
  <c r="R208" i="31"/>
  <c r="Q208" i="31"/>
  <c r="P208" i="31"/>
  <c r="B208" i="31"/>
  <c r="W208" i="31" s="1"/>
  <c r="A208" i="31"/>
  <c r="B207" i="31"/>
  <c r="A207" i="31"/>
  <c r="Q206" i="31"/>
  <c r="P206" i="31"/>
  <c r="B206" i="31"/>
  <c r="A206" i="31"/>
  <c r="B205" i="31"/>
  <c r="A205" i="31"/>
  <c r="W204" i="31"/>
  <c r="V204" i="31"/>
  <c r="U204" i="31"/>
  <c r="T204" i="31"/>
  <c r="S204" i="31"/>
  <c r="B204" i="31"/>
  <c r="R204" i="31" s="1"/>
  <c r="A204" i="31"/>
  <c r="W203" i="31"/>
  <c r="V203" i="31"/>
  <c r="U203" i="31"/>
  <c r="T203" i="31"/>
  <c r="S203" i="31"/>
  <c r="R203" i="31"/>
  <c r="Q203" i="31"/>
  <c r="B203" i="31"/>
  <c r="P203" i="31" s="1"/>
  <c r="A203" i="31"/>
  <c r="U202" i="31"/>
  <c r="T202" i="31"/>
  <c r="S202" i="31"/>
  <c r="R202" i="31"/>
  <c r="Q202" i="31"/>
  <c r="P202" i="31"/>
  <c r="B202" i="31"/>
  <c r="W202" i="31" s="1"/>
  <c r="A202" i="31"/>
  <c r="S201" i="31"/>
  <c r="R201" i="31"/>
  <c r="Q201" i="31"/>
  <c r="B201" i="31"/>
  <c r="A201" i="31"/>
  <c r="Q200" i="31"/>
  <c r="B200" i="31"/>
  <c r="A200" i="31"/>
  <c r="V199" i="31"/>
  <c r="B199" i="31"/>
  <c r="A199" i="31"/>
  <c r="W198" i="31"/>
  <c r="V198" i="31"/>
  <c r="U198" i="31"/>
  <c r="T198" i="31"/>
  <c r="S198" i="31"/>
  <c r="B198" i="31"/>
  <c r="R198" i="31" s="1"/>
  <c r="A198" i="31"/>
  <c r="W197" i="31"/>
  <c r="V197" i="31"/>
  <c r="U197" i="31"/>
  <c r="T197" i="31"/>
  <c r="S197" i="31"/>
  <c r="R197" i="31"/>
  <c r="Q197" i="31"/>
  <c r="B197" i="31"/>
  <c r="P197" i="31" s="1"/>
  <c r="A197" i="31"/>
  <c r="U196" i="31"/>
  <c r="T196" i="31"/>
  <c r="S196" i="31"/>
  <c r="R196" i="31"/>
  <c r="Q196" i="31"/>
  <c r="P196" i="31"/>
  <c r="B196" i="31"/>
  <c r="W196" i="31" s="1"/>
  <c r="A196" i="31"/>
  <c r="S195" i="31"/>
  <c r="R195" i="31"/>
  <c r="B195" i="31"/>
  <c r="A195" i="31"/>
  <c r="P194" i="31"/>
  <c r="B194" i="31"/>
  <c r="A194" i="31"/>
  <c r="W193" i="31"/>
  <c r="V193" i="31"/>
  <c r="B193" i="31"/>
  <c r="A193" i="31"/>
  <c r="W192" i="31"/>
  <c r="V192" i="31"/>
  <c r="U192" i="31"/>
  <c r="T192" i="31"/>
  <c r="S192" i="31"/>
  <c r="B192" i="31"/>
  <c r="R192" i="31" s="1"/>
  <c r="A192" i="31"/>
  <c r="W191" i="31"/>
  <c r="V191" i="31"/>
  <c r="U191" i="31"/>
  <c r="T191" i="31"/>
  <c r="S191" i="31"/>
  <c r="R191" i="31"/>
  <c r="Q191" i="31"/>
  <c r="B191" i="31"/>
  <c r="P191" i="31" s="1"/>
  <c r="A191" i="31"/>
  <c r="V190" i="31"/>
  <c r="U190" i="31"/>
  <c r="T190" i="31"/>
  <c r="S190" i="31"/>
  <c r="R190" i="31"/>
  <c r="Q190" i="31"/>
  <c r="P190" i="31"/>
  <c r="AF184" i="31"/>
  <c r="Y184" i="31"/>
  <c r="B184" i="31"/>
  <c r="A184" i="31"/>
  <c r="AF183" i="31"/>
  <c r="AE183" i="31"/>
  <c r="AD183" i="31"/>
  <c r="B183" i="31"/>
  <c r="AC183" i="31" s="1"/>
  <c r="A183" i="31"/>
  <c r="AF182" i="31"/>
  <c r="AE182" i="31"/>
  <c r="AD182" i="31"/>
  <c r="AC182" i="31"/>
  <c r="AB182" i="31"/>
  <c r="AA182" i="31"/>
  <c r="B182" i="31"/>
  <c r="Z182" i="31" s="1"/>
  <c r="A182" i="31"/>
  <c r="AF181" i="31"/>
  <c r="AE181" i="31"/>
  <c r="AD181" i="31"/>
  <c r="AC181" i="31"/>
  <c r="AB181" i="31"/>
  <c r="AA181" i="31"/>
  <c r="Z181" i="31"/>
  <c r="Y181" i="31"/>
  <c r="B181" i="31"/>
  <c r="A181" i="31"/>
  <c r="AC180" i="31"/>
  <c r="AB180" i="31"/>
  <c r="Y180" i="31"/>
  <c r="B180" i="31"/>
  <c r="A180" i="31"/>
  <c r="AA179" i="31"/>
  <c r="Z179" i="31"/>
  <c r="Y179" i="31"/>
  <c r="B179" i="31"/>
  <c r="AF179" i="31" s="1"/>
  <c r="A179" i="31"/>
  <c r="B178" i="31"/>
  <c r="A178" i="31"/>
  <c r="AF177" i="31"/>
  <c r="AE177" i="31"/>
  <c r="AD177" i="31"/>
  <c r="B177" i="31"/>
  <c r="AC177" i="31" s="1"/>
  <c r="A177" i="31"/>
  <c r="AF176" i="31"/>
  <c r="AE176" i="31"/>
  <c r="AD176" i="31"/>
  <c r="AC176" i="31"/>
  <c r="AB176" i="31"/>
  <c r="AA176" i="31"/>
  <c r="B176" i="31"/>
  <c r="Z176" i="31" s="1"/>
  <c r="A176" i="31"/>
  <c r="AF175" i="31"/>
  <c r="AE175" i="31"/>
  <c r="AD175" i="31"/>
  <c r="AC175" i="31"/>
  <c r="AB175" i="31"/>
  <c r="AA175" i="31"/>
  <c r="Z175" i="31"/>
  <c r="Y175" i="31"/>
  <c r="B175" i="31"/>
  <c r="A175" i="31"/>
  <c r="B174" i="31"/>
  <c r="A174" i="31"/>
  <c r="AA173" i="31"/>
  <c r="Z173" i="31"/>
  <c r="Y173" i="31"/>
  <c r="B173" i="31"/>
  <c r="AF173" i="31" s="1"/>
  <c r="A173" i="31"/>
  <c r="AF172" i="31"/>
  <c r="B172" i="31"/>
  <c r="A172" i="31"/>
  <c r="AF171" i="31"/>
  <c r="AE171" i="31"/>
  <c r="AD171" i="31"/>
  <c r="B171" i="31"/>
  <c r="AC171" i="31" s="1"/>
  <c r="A171" i="31"/>
  <c r="AF170" i="31"/>
  <c r="AE170" i="31"/>
  <c r="AD170" i="31"/>
  <c r="AC170" i="31"/>
  <c r="AB170" i="31"/>
  <c r="AA170" i="31"/>
  <c r="B170" i="31"/>
  <c r="Z170" i="31" s="1"/>
  <c r="A170" i="31"/>
  <c r="AF169" i="31"/>
  <c r="AE169" i="31"/>
  <c r="AD169" i="31"/>
  <c r="AC169" i="31"/>
  <c r="AB169" i="31"/>
  <c r="AA169" i="31"/>
  <c r="Z169" i="31"/>
  <c r="Y169" i="31"/>
  <c r="B169" i="31"/>
  <c r="A169" i="31"/>
  <c r="AA168" i="31"/>
  <c r="Y168" i="31"/>
  <c r="B168" i="31"/>
  <c r="A168" i="31"/>
  <c r="AA167" i="31"/>
  <c r="Z167" i="31"/>
  <c r="Y167" i="31"/>
  <c r="B167" i="31"/>
  <c r="AF167" i="31" s="1"/>
  <c r="A167" i="31"/>
  <c r="B166" i="31"/>
  <c r="A166" i="31"/>
  <c r="AF165" i="31"/>
  <c r="AE165" i="31"/>
  <c r="AD165" i="31"/>
  <c r="B165" i="31"/>
  <c r="AC165" i="31" s="1"/>
  <c r="A165" i="31"/>
  <c r="AF164" i="31"/>
  <c r="AE164" i="31"/>
  <c r="AD164" i="31"/>
  <c r="AC164" i="31"/>
  <c r="AB164" i="31"/>
  <c r="AA164" i="31"/>
  <c r="B164" i="31"/>
  <c r="Z164" i="31" s="1"/>
  <c r="A164" i="31"/>
  <c r="AF163" i="31"/>
  <c r="AE163" i="31"/>
  <c r="AD163" i="31"/>
  <c r="AC163" i="31"/>
  <c r="AB163" i="31"/>
  <c r="AA163" i="31"/>
  <c r="Z163" i="31"/>
  <c r="Y163" i="31"/>
  <c r="B163" i="31"/>
  <c r="A163" i="31"/>
  <c r="AC162" i="31"/>
  <c r="AB162" i="31"/>
  <c r="Y162" i="31"/>
  <c r="B162" i="31"/>
  <c r="A162" i="31"/>
  <c r="AA161" i="31"/>
  <c r="Z161" i="31"/>
  <c r="Y161" i="31"/>
  <c r="B161" i="31"/>
  <c r="AF161" i="31" s="1"/>
  <c r="A161" i="31"/>
  <c r="Y160" i="31"/>
  <c r="B160" i="31"/>
  <c r="A160" i="31"/>
  <c r="AF159" i="31"/>
  <c r="AE159" i="31"/>
  <c r="AD159" i="31"/>
  <c r="B159" i="31"/>
  <c r="AC159" i="31" s="1"/>
  <c r="A159" i="31"/>
  <c r="AF158" i="31"/>
  <c r="AE158" i="31"/>
  <c r="AD158" i="31"/>
  <c r="AC158" i="31"/>
  <c r="AB158" i="31"/>
  <c r="AA158" i="31"/>
  <c r="B158" i="31"/>
  <c r="Z158" i="31" s="1"/>
  <c r="A158" i="31"/>
  <c r="AF157" i="31"/>
  <c r="AE157" i="31"/>
  <c r="AD157" i="31"/>
  <c r="AC157" i="31"/>
  <c r="AB157" i="31"/>
  <c r="AA157" i="31"/>
  <c r="Z157" i="31"/>
  <c r="Y157" i="31"/>
  <c r="B157" i="31"/>
  <c r="A157" i="31"/>
  <c r="AC156" i="31"/>
  <c r="AB156" i="31"/>
  <c r="AA156" i="31"/>
  <c r="B156" i="31"/>
  <c r="A156" i="31"/>
  <c r="AA155" i="31"/>
  <c r="Z155" i="31"/>
  <c r="Y155" i="31"/>
  <c r="B155" i="31"/>
  <c r="AF155" i="31" s="1"/>
  <c r="A155" i="31"/>
  <c r="AF154" i="31"/>
  <c r="B154" i="31"/>
  <c r="A154" i="31"/>
  <c r="AF153" i="31"/>
  <c r="AE153" i="31"/>
  <c r="AD153" i="31"/>
  <c r="AC153" i="31"/>
  <c r="B153" i="31"/>
  <c r="AB153" i="31" s="1"/>
  <c r="A153" i="31"/>
  <c r="AF152" i="31"/>
  <c r="AE152" i="31"/>
  <c r="AD152" i="31"/>
  <c r="AC152" i="31"/>
  <c r="AB152" i="31"/>
  <c r="AA152" i="31"/>
  <c r="B152" i="31"/>
  <c r="Z152" i="31" s="1"/>
  <c r="A152" i="31"/>
  <c r="AF151" i="31"/>
  <c r="AE151" i="31"/>
  <c r="AD151" i="31"/>
  <c r="AC151" i="31"/>
  <c r="AB151" i="31"/>
  <c r="AA151" i="31"/>
  <c r="Z151" i="31"/>
  <c r="Y151" i="31"/>
  <c r="B151" i="31"/>
  <c r="A151" i="31"/>
  <c r="AB150" i="31"/>
  <c r="AA150" i="31"/>
  <c r="B150" i="31"/>
  <c r="A150" i="31"/>
  <c r="AA149" i="31"/>
  <c r="Z149" i="31"/>
  <c r="Y149" i="31"/>
  <c r="B149" i="31"/>
  <c r="AF149" i="31" s="1"/>
  <c r="A149" i="31"/>
  <c r="AF148" i="31"/>
  <c r="B148" i="31"/>
  <c r="A148" i="31"/>
  <c r="AF147" i="31"/>
  <c r="AE147" i="31"/>
  <c r="AD147" i="31"/>
  <c r="AC147" i="31"/>
  <c r="B147" i="31"/>
  <c r="AB147" i="31" s="1"/>
  <c r="A147" i="31"/>
  <c r="AF146" i="31"/>
  <c r="AE146" i="31"/>
  <c r="AD146" i="31"/>
  <c r="AC146" i="31"/>
  <c r="AB146" i="31"/>
  <c r="AA146" i="31"/>
  <c r="B146" i="31"/>
  <c r="Z146" i="31" s="1"/>
  <c r="A146" i="31"/>
  <c r="AF145" i="31"/>
  <c r="AE145" i="31"/>
  <c r="AD145" i="31"/>
  <c r="AC145" i="31"/>
  <c r="AB145" i="31"/>
  <c r="AA145" i="31"/>
  <c r="Z145" i="31"/>
  <c r="Y145" i="31"/>
  <c r="B145" i="31"/>
  <c r="A145" i="31"/>
  <c r="AE144" i="31"/>
  <c r="AD144" i="31"/>
  <c r="AC144" i="31"/>
  <c r="AB144" i="31"/>
  <c r="AA144" i="31"/>
  <c r="Z144" i="31"/>
  <c r="Y144" i="31"/>
  <c r="Z138" i="31"/>
  <c r="Y138" i="31"/>
  <c r="B138" i="31"/>
  <c r="A138" i="31"/>
  <c r="Z137" i="31"/>
  <c r="Y137" i="31"/>
  <c r="X137" i="31"/>
  <c r="W137" i="31"/>
  <c r="V137" i="31"/>
  <c r="B137" i="31"/>
  <c r="U137" i="31" s="1"/>
  <c r="A137" i="31"/>
  <c r="Z136" i="31"/>
  <c r="Y136" i="31"/>
  <c r="X136" i="31"/>
  <c r="W136" i="31"/>
  <c r="V136" i="31"/>
  <c r="U136" i="31"/>
  <c r="T136" i="31"/>
  <c r="B136" i="31"/>
  <c r="S136" i="31" s="1"/>
  <c r="A136" i="31"/>
  <c r="X135" i="31"/>
  <c r="W135" i="31"/>
  <c r="V135" i="31"/>
  <c r="U135" i="31"/>
  <c r="T135" i="31"/>
  <c r="S135" i="31"/>
  <c r="B135" i="31"/>
  <c r="Z135" i="31" s="1"/>
  <c r="A135" i="31"/>
  <c r="V134" i="31"/>
  <c r="T134" i="31"/>
  <c r="B134" i="31"/>
  <c r="A134" i="31"/>
  <c r="T133" i="31"/>
  <c r="S133" i="31"/>
  <c r="B133" i="31"/>
  <c r="A133" i="31"/>
  <c r="Z132" i="31"/>
  <c r="B132" i="31"/>
  <c r="A132" i="31"/>
  <c r="Z131" i="31"/>
  <c r="Y131" i="31"/>
  <c r="X131" i="31"/>
  <c r="W131" i="31"/>
  <c r="V131" i="31"/>
  <c r="B131" i="31"/>
  <c r="U131" i="31" s="1"/>
  <c r="A131" i="31"/>
  <c r="Z130" i="31"/>
  <c r="Y130" i="31"/>
  <c r="X130" i="31"/>
  <c r="W130" i="31"/>
  <c r="V130" i="31"/>
  <c r="U130" i="31"/>
  <c r="T130" i="31"/>
  <c r="B130" i="31"/>
  <c r="S130" i="31" s="1"/>
  <c r="A130" i="31"/>
  <c r="X129" i="31"/>
  <c r="W129" i="31"/>
  <c r="V129" i="31"/>
  <c r="U129" i="31"/>
  <c r="T129" i="31"/>
  <c r="S129" i="31"/>
  <c r="B129" i="31"/>
  <c r="Z129" i="31" s="1"/>
  <c r="A129" i="31"/>
  <c r="B128" i="31"/>
  <c r="A128" i="31"/>
  <c r="T127" i="31"/>
  <c r="S127" i="31"/>
  <c r="B127" i="31"/>
  <c r="A127" i="31"/>
  <c r="B126" i="31"/>
  <c r="A126" i="31"/>
  <c r="Z125" i="31"/>
  <c r="Y125" i="31"/>
  <c r="X125" i="31"/>
  <c r="W125" i="31"/>
  <c r="V125" i="31"/>
  <c r="B125" i="31"/>
  <c r="U125" i="31" s="1"/>
  <c r="A125" i="31"/>
  <c r="Z124" i="31"/>
  <c r="Y124" i="31"/>
  <c r="X124" i="31"/>
  <c r="W124" i="31"/>
  <c r="V124" i="31"/>
  <c r="U124" i="31"/>
  <c r="T124" i="31"/>
  <c r="B124" i="31"/>
  <c r="S124" i="31" s="1"/>
  <c r="A124" i="31"/>
  <c r="X123" i="31"/>
  <c r="W123" i="31"/>
  <c r="V123" i="31"/>
  <c r="U123" i="31"/>
  <c r="T123" i="31"/>
  <c r="S123" i="31"/>
  <c r="B123" i="31"/>
  <c r="Z123" i="31" s="1"/>
  <c r="A123" i="31"/>
  <c r="S122" i="31"/>
  <c r="B122" i="31"/>
  <c r="A122" i="31"/>
  <c r="T121" i="31"/>
  <c r="S121" i="31"/>
  <c r="B121" i="31"/>
  <c r="A121" i="31"/>
  <c r="Z120" i="31"/>
  <c r="B120" i="31"/>
  <c r="A120" i="31"/>
  <c r="Z119" i="31"/>
  <c r="Y119" i="31"/>
  <c r="X119" i="31"/>
  <c r="W119" i="31"/>
  <c r="V119" i="31"/>
  <c r="B119" i="31"/>
  <c r="U119" i="31" s="1"/>
  <c r="A119" i="31"/>
  <c r="Z118" i="31"/>
  <c r="Y118" i="31"/>
  <c r="X118" i="31"/>
  <c r="W118" i="31"/>
  <c r="V118" i="31"/>
  <c r="U118" i="31"/>
  <c r="T118" i="31"/>
  <c r="B118" i="31"/>
  <c r="S118" i="31" s="1"/>
  <c r="A118" i="31"/>
  <c r="X117" i="31"/>
  <c r="W117" i="31"/>
  <c r="V117" i="31"/>
  <c r="U117" i="31"/>
  <c r="T117" i="31"/>
  <c r="S117" i="31"/>
  <c r="B117" i="31"/>
  <c r="Z117" i="31" s="1"/>
  <c r="A117" i="31"/>
  <c r="U116" i="31"/>
  <c r="T116" i="31"/>
  <c r="S116" i="31"/>
  <c r="B116" i="31"/>
  <c r="A116" i="31"/>
  <c r="S115" i="31"/>
  <c r="B115" i="31"/>
  <c r="A115" i="31"/>
  <c r="B114" i="31"/>
  <c r="A114" i="31"/>
  <c r="Z113" i="31"/>
  <c r="Y113" i="31"/>
  <c r="X113" i="31"/>
  <c r="W113" i="31"/>
  <c r="V113" i="31"/>
  <c r="B113" i="31"/>
  <c r="U113" i="31" s="1"/>
  <c r="A113" i="31"/>
  <c r="Z112" i="31"/>
  <c r="Y112" i="31"/>
  <c r="X112" i="31"/>
  <c r="W112" i="31"/>
  <c r="V112" i="31"/>
  <c r="U112" i="31"/>
  <c r="T112" i="31"/>
  <c r="B112" i="31"/>
  <c r="S112" i="31" s="1"/>
  <c r="A112" i="31"/>
  <c r="X111" i="31"/>
  <c r="W111" i="31"/>
  <c r="V111" i="31"/>
  <c r="U111" i="31"/>
  <c r="T111" i="31"/>
  <c r="S111" i="31"/>
  <c r="B111" i="31"/>
  <c r="Z111" i="31" s="1"/>
  <c r="A111" i="31"/>
  <c r="V110" i="31"/>
  <c r="U110" i="31"/>
  <c r="T110" i="31"/>
  <c r="S110" i="31"/>
  <c r="B110" i="31"/>
  <c r="A110" i="31"/>
  <c r="T109" i="31"/>
  <c r="B109" i="31"/>
  <c r="A109" i="31"/>
  <c r="Y108" i="31"/>
  <c r="B108" i="31"/>
  <c r="A108" i="31"/>
  <c r="Z107" i="31"/>
  <c r="Y107" i="31"/>
  <c r="X107" i="31"/>
  <c r="W107" i="31"/>
  <c r="V107" i="31"/>
  <c r="B107" i="31"/>
  <c r="U107" i="31" s="1"/>
  <c r="A107" i="31"/>
  <c r="Z106" i="31"/>
  <c r="Y106" i="31"/>
  <c r="X106" i="31"/>
  <c r="W106" i="31"/>
  <c r="V106" i="31"/>
  <c r="U106" i="31"/>
  <c r="T106" i="31"/>
  <c r="B106" i="31"/>
  <c r="S106" i="31" s="1"/>
  <c r="A106" i="31"/>
  <c r="S105" i="31"/>
  <c r="B105" i="31"/>
  <c r="A105" i="31"/>
  <c r="V104" i="31"/>
  <c r="U104" i="31"/>
  <c r="S104" i="31"/>
  <c r="B104" i="31"/>
  <c r="A104" i="31"/>
  <c r="B103" i="31"/>
  <c r="A103" i="31"/>
  <c r="Z102" i="31"/>
  <c r="Y102" i="31"/>
  <c r="X102" i="31"/>
  <c r="B102" i="31"/>
  <c r="A102" i="31"/>
  <c r="Z101" i="31"/>
  <c r="Y101" i="31"/>
  <c r="X101" i="31"/>
  <c r="W101" i="31"/>
  <c r="V101" i="31"/>
  <c r="B101" i="31"/>
  <c r="U101" i="31" s="1"/>
  <c r="A101" i="31"/>
  <c r="Z100" i="31"/>
  <c r="Y100" i="31"/>
  <c r="X100" i="31"/>
  <c r="W100" i="31"/>
  <c r="V100" i="31"/>
  <c r="U100" i="31"/>
  <c r="T100" i="31"/>
  <c r="B100" i="31"/>
  <c r="S100" i="31" s="1"/>
  <c r="A100" i="31"/>
  <c r="X99" i="31"/>
  <c r="W99" i="31"/>
  <c r="V99" i="31"/>
  <c r="U99" i="31"/>
  <c r="T99" i="31"/>
  <c r="S99" i="31"/>
  <c r="B99" i="31"/>
  <c r="A99" i="31"/>
  <c r="Y98" i="31"/>
  <c r="X98" i="31"/>
  <c r="W98" i="31"/>
  <c r="V98" i="31"/>
  <c r="U98" i="31"/>
  <c r="T98" i="31"/>
  <c r="S98" i="31"/>
  <c r="AF92" i="31"/>
  <c r="AE92" i="31"/>
  <c r="AD92" i="31"/>
  <c r="AC92" i="31"/>
  <c r="AA92" i="31"/>
  <c r="B92" i="31"/>
  <c r="AB92" i="31" s="1"/>
  <c r="A92" i="31"/>
  <c r="AF91" i="31"/>
  <c r="AE91" i="31"/>
  <c r="AD91" i="31"/>
  <c r="AC91" i="31"/>
  <c r="AB91" i="31"/>
  <c r="AA91" i="31"/>
  <c r="Y91" i="31"/>
  <c r="B91" i="31"/>
  <c r="Z91" i="31" s="1"/>
  <c r="A91" i="31"/>
  <c r="AE90" i="31"/>
  <c r="AD90" i="31"/>
  <c r="AC90" i="31"/>
  <c r="AB90" i="31"/>
  <c r="AA90" i="31"/>
  <c r="Z90" i="31"/>
  <c r="Y90" i="31"/>
  <c r="B90" i="31"/>
  <c r="AF90" i="31" s="1"/>
  <c r="A90" i="31"/>
  <c r="AC89" i="31"/>
  <c r="AB89" i="31"/>
  <c r="AA89" i="31"/>
  <c r="Z89" i="31"/>
  <c r="Y89" i="31"/>
  <c r="B89" i="31"/>
  <c r="A89" i="31"/>
  <c r="Z88" i="31"/>
  <c r="Y88" i="31"/>
  <c r="B88" i="31"/>
  <c r="A88" i="31"/>
  <c r="AF87" i="31"/>
  <c r="AD87" i="31"/>
  <c r="AC87" i="31"/>
  <c r="B87" i="31"/>
  <c r="A87" i="31"/>
  <c r="AF86" i="31"/>
  <c r="AE86" i="31"/>
  <c r="AD86" i="31"/>
  <c r="AC86" i="31"/>
  <c r="AB86" i="31"/>
  <c r="AA86" i="31"/>
  <c r="B86" i="31"/>
  <c r="Z86" i="31" s="1"/>
  <c r="A86" i="31"/>
  <c r="AF85" i="31"/>
  <c r="AE85" i="31"/>
  <c r="AD85" i="31"/>
  <c r="AC85" i="31"/>
  <c r="AB85" i="31"/>
  <c r="AA85" i="31"/>
  <c r="Z85" i="31"/>
  <c r="Y85" i="31"/>
  <c r="B85" i="31"/>
  <c r="A85" i="31"/>
  <c r="B84" i="31"/>
  <c r="A84" i="31"/>
  <c r="AF83" i="31"/>
  <c r="AE83" i="31"/>
  <c r="AC83" i="31"/>
  <c r="AB83" i="31"/>
  <c r="B83" i="31"/>
  <c r="AD83" i="31" s="1"/>
  <c r="A83" i="31"/>
  <c r="AF82" i="31"/>
  <c r="AE82" i="31"/>
  <c r="AD82" i="31"/>
  <c r="AC82" i="31"/>
  <c r="AA82" i="31"/>
  <c r="Z82" i="31"/>
  <c r="B82" i="31"/>
  <c r="AB82" i="31" s="1"/>
  <c r="A82" i="31"/>
  <c r="AE81" i="31"/>
  <c r="AD81" i="31"/>
  <c r="AC81" i="31"/>
  <c r="AB81" i="31"/>
  <c r="AA81" i="31"/>
  <c r="Y81" i="31"/>
  <c r="B81" i="31"/>
  <c r="Z81" i="31" s="1"/>
  <c r="A81" i="31"/>
  <c r="AF80" i="31"/>
  <c r="AD80" i="31"/>
  <c r="AC80" i="31"/>
  <c r="AB80" i="31"/>
  <c r="AA80" i="31"/>
  <c r="Z80" i="31"/>
  <c r="Y80" i="31"/>
  <c r="B80" i="31"/>
  <c r="AE80" i="31" s="1"/>
  <c r="A80" i="31"/>
  <c r="B79" i="31"/>
  <c r="A79" i="31"/>
  <c r="Y78" i="31"/>
  <c r="B78" i="31"/>
  <c r="A78" i="31"/>
  <c r="AF77" i="31"/>
  <c r="AE77" i="31"/>
  <c r="AC77" i="31"/>
  <c r="AB77" i="31"/>
  <c r="B77" i="31"/>
  <c r="AD77" i="31" s="1"/>
  <c r="A77" i="31"/>
  <c r="AF76" i="31"/>
  <c r="AE76" i="31"/>
  <c r="AD76" i="31"/>
  <c r="AC76" i="31"/>
  <c r="AA76" i="31"/>
  <c r="Z76" i="31"/>
  <c r="B76" i="31"/>
  <c r="AB76" i="31" s="1"/>
  <c r="A76" i="31"/>
  <c r="AE75" i="31"/>
  <c r="AD75" i="31"/>
  <c r="AC75" i="31"/>
  <c r="AB75" i="31"/>
  <c r="AA75" i="31"/>
  <c r="Y75" i="31"/>
  <c r="B75" i="31"/>
  <c r="Z75" i="31" s="1"/>
  <c r="A75" i="31"/>
  <c r="AF74" i="31"/>
  <c r="AD74" i="31"/>
  <c r="AC74" i="31"/>
  <c r="AB74" i="31"/>
  <c r="AA74" i="31"/>
  <c r="Z74" i="31"/>
  <c r="Y74" i="31"/>
  <c r="B74" i="31"/>
  <c r="AE74" i="31" s="1"/>
  <c r="A74" i="31"/>
  <c r="AA73" i="31"/>
  <c r="Z73" i="31"/>
  <c r="Y73" i="31"/>
  <c r="B73" i="31"/>
  <c r="A73" i="31"/>
  <c r="Y72" i="31"/>
  <c r="B72" i="31"/>
  <c r="A72" i="31"/>
  <c r="AF71" i="31"/>
  <c r="AE71" i="31"/>
  <c r="AC71" i="31"/>
  <c r="AB71" i="31"/>
  <c r="B71" i="31"/>
  <c r="AD71" i="31" s="1"/>
  <c r="A71" i="31"/>
  <c r="AF70" i="31"/>
  <c r="AE70" i="31"/>
  <c r="AD70" i="31"/>
  <c r="AC70" i="31"/>
  <c r="AA70" i="31"/>
  <c r="Z70" i="31"/>
  <c r="B70" i="31"/>
  <c r="AB70" i="31" s="1"/>
  <c r="A70" i="31"/>
  <c r="AE69" i="31"/>
  <c r="AD69" i="31"/>
  <c r="AC69" i="31"/>
  <c r="AB69" i="31"/>
  <c r="AA69" i="31"/>
  <c r="Y69" i="31"/>
  <c r="B69" i="31"/>
  <c r="Z69" i="31" s="1"/>
  <c r="A69" i="31"/>
  <c r="AF68" i="31"/>
  <c r="AD68" i="31"/>
  <c r="AC68" i="31"/>
  <c r="AB68" i="31"/>
  <c r="AA68" i="31"/>
  <c r="Z68" i="31"/>
  <c r="Y68" i="31"/>
  <c r="B68" i="31"/>
  <c r="AE68" i="31" s="1"/>
  <c r="A68" i="31"/>
  <c r="Y67" i="31"/>
  <c r="B67" i="31"/>
  <c r="A67" i="31"/>
  <c r="B66" i="31"/>
  <c r="A66" i="31"/>
  <c r="AF65" i="31"/>
  <c r="AE65" i="31"/>
  <c r="AC65" i="31"/>
  <c r="AB65" i="31"/>
  <c r="B65" i="31"/>
  <c r="AD65" i="31" s="1"/>
  <c r="A65" i="31"/>
  <c r="AF64" i="31"/>
  <c r="AE64" i="31"/>
  <c r="AD64" i="31"/>
  <c r="AC64" i="31"/>
  <c r="AA64" i="31"/>
  <c r="Z64" i="31"/>
  <c r="B64" i="31"/>
  <c r="AB64" i="31" s="1"/>
  <c r="A64" i="31"/>
  <c r="AE63" i="31"/>
  <c r="AD63" i="31"/>
  <c r="AC63" i="31"/>
  <c r="AB63" i="31"/>
  <c r="AA63" i="31"/>
  <c r="Y63" i="31"/>
  <c r="B63" i="31"/>
  <c r="Z63" i="31" s="1"/>
  <c r="A63" i="31"/>
  <c r="AF62" i="31"/>
  <c r="AD62" i="31"/>
  <c r="AC62" i="31"/>
  <c r="AB62" i="31"/>
  <c r="AA62" i="31"/>
  <c r="Z62" i="31"/>
  <c r="Y62" i="31"/>
  <c r="B62" i="31"/>
  <c r="AE62" i="31" s="1"/>
  <c r="A62" i="31"/>
  <c r="AA61" i="31"/>
  <c r="Z61" i="31"/>
  <c r="Y61" i="31"/>
  <c r="B61" i="31"/>
  <c r="A61" i="31"/>
  <c r="B60" i="31"/>
  <c r="A60" i="31"/>
  <c r="AF59" i="31"/>
  <c r="AE59" i="31"/>
  <c r="AC59" i="31"/>
  <c r="AB59" i="31"/>
  <c r="B59" i="31"/>
  <c r="AD59" i="31" s="1"/>
  <c r="A59" i="31"/>
  <c r="AF58" i="31"/>
  <c r="AE58" i="31"/>
  <c r="AD58" i="31"/>
  <c r="AC58" i="31"/>
  <c r="AA58" i="31"/>
  <c r="Z58" i="31"/>
  <c r="B58" i="31"/>
  <c r="AB58" i="31" s="1"/>
  <c r="A58" i="31"/>
  <c r="AE57" i="31"/>
  <c r="AD57" i="31"/>
  <c r="AC57" i="31"/>
  <c r="AB57" i="31"/>
  <c r="AA57" i="31"/>
  <c r="Y57" i="31"/>
  <c r="B57" i="31"/>
  <c r="Z57" i="31" s="1"/>
  <c r="A57" i="31"/>
  <c r="AF56" i="31"/>
  <c r="AD56" i="31"/>
  <c r="AC56" i="31"/>
  <c r="AB56" i="31"/>
  <c r="AA56" i="31"/>
  <c r="Z56" i="31"/>
  <c r="Y56" i="31"/>
  <c r="B56" i="31"/>
  <c r="AE56" i="31" s="1"/>
  <c r="A56" i="31"/>
  <c r="B55" i="31"/>
  <c r="A55" i="31"/>
  <c r="B54" i="31"/>
  <c r="A54" i="31"/>
  <c r="AF53" i="31"/>
  <c r="AE53" i="31"/>
  <c r="AC53" i="31"/>
  <c r="AB53" i="31"/>
  <c r="Z53" i="31"/>
  <c r="B53" i="31"/>
  <c r="AD53" i="31" s="1"/>
  <c r="A53" i="31"/>
  <c r="AE52" i="31"/>
  <c r="AD52" i="31"/>
  <c r="AC52" i="31"/>
  <c r="AB52" i="31"/>
  <c r="AA52" i="31"/>
  <c r="Z52" i="31"/>
  <c r="Y52" i="31"/>
  <c r="J17" i="31"/>
  <c r="I17" i="31"/>
  <c r="H17" i="31"/>
  <c r="G17" i="31"/>
  <c r="K17" i="31" s="1"/>
  <c r="F17" i="31"/>
  <c r="J16" i="31"/>
  <c r="I16" i="31"/>
  <c r="H16" i="31"/>
  <c r="G16" i="31"/>
  <c r="K16" i="31" s="1"/>
  <c r="F16" i="31"/>
  <c r="J15" i="31"/>
  <c r="I15" i="31"/>
  <c r="H15" i="31"/>
  <c r="G15" i="31"/>
  <c r="K15" i="31" s="1"/>
  <c r="F15" i="31"/>
  <c r="K14" i="31"/>
  <c r="J14" i="31"/>
  <c r="I14" i="31"/>
  <c r="H14" i="31"/>
  <c r="G14" i="31"/>
  <c r="F14" i="31"/>
  <c r="J13" i="31"/>
  <c r="I13" i="31"/>
  <c r="H13" i="31"/>
  <c r="G13" i="31"/>
  <c r="K13" i="31" s="1"/>
  <c r="F13" i="31"/>
  <c r="J12" i="31"/>
  <c r="K12" i="31" s="1"/>
  <c r="I12" i="31"/>
  <c r="H12" i="31"/>
  <c r="G12" i="31"/>
  <c r="F12" i="31"/>
  <c r="J11" i="31"/>
  <c r="I11" i="31"/>
  <c r="H11" i="31"/>
  <c r="G11" i="31"/>
  <c r="K11" i="31" s="1"/>
  <c r="F11" i="31"/>
  <c r="E7" i="31"/>
  <c r="D7" i="31"/>
  <c r="C7" i="31"/>
  <c r="B7" i="31"/>
  <c r="A7" i="31"/>
  <c r="A5" i="31"/>
  <c r="J2" i="31"/>
  <c r="H2" i="31"/>
  <c r="F2" i="31"/>
  <c r="D2" i="31"/>
  <c r="B2" i="31"/>
  <c r="A1" i="31"/>
  <c r="W230" i="30"/>
  <c r="R230" i="30"/>
  <c r="Q230" i="30"/>
  <c r="P230" i="30"/>
  <c r="B230" i="30"/>
  <c r="A230" i="30"/>
  <c r="P229" i="30"/>
  <c r="B229" i="30"/>
  <c r="A229" i="30"/>
  <c r="W228" i="30"/>
  <c r="V228" i="30"/>
  <c r="T228" i="30"/>
  <c r="S228" i="30"/>
  <c r="Q228" i="30"/>
  <c r="B228" i="30"/>
  <c r="U228" i="30" s="1"/>
  <c r="A228" i="30"/>
  <c r="W227" i="30"/>
  <c r="V227" i="30"/>
  <c r="U227" i="30"/>
  <c r="T227" i="30"/>
  <c r="R227" i="30"/>
  <c r="Q227" i="30"/>
  <c r="B227" i="30"/>
  <c r="S227" i="30" s="1"/>
  <c r="A227" i="30"/>
  <c r="S226" i="30"/>
  <c r="R226" i="30"/>
  <c r="B226" i="30"/>
  <c r="A226" i="30"/>
  <c r="W225" i="30"/>
  <c r="U225" i="30"/>
  <c r="T225" i="30"/>
  <c r="S225" i="30"/>
  <c r="R225" i="30"/>
  <c r="Q225" i="30"/>
  <c r="P225" i="30"/>
  <c r="B225" i="30"/>
  <c r="V225" i="30" s="1"/>
  <c r="A225" i="30"/>
  <c r="B224" i="30"/>
  <c r="A224" i="30"/>
  <c r="V223" i="30"/>
  <c r="U223" i="30"/>
  <c r="P223" i="30"/>
  <c r="B223" i="30"/>
  <c r="A223" i="30"/>
  <c r="W222" i="30"/>
  <c r="V222" i="30"/>
  <c r="T222" i="30"/>
  <c r="S222" i="30"/>
  <c r="Q222" i="30"/>
  <c r="B222" i="30"/>
  <c r="U222" i="30" s="1"/>
  <c r="A222" i="30"/>
  <c r="W221" i="30"/>
  <c r="V221" i="30"/>
  <c r="U221" i="30"/>
  <c r="T221" i="30"/>
  <c r="R221" i="30"/>
  <c r="Q221" i="30"/>
  <c r="B221" i="30"/>
  <c r="S221" i="30" s="1"/>
  <c r="A221" i="30"/>
  <c r="V220" i="30"/>
  <c r="U220" i="30"/>
  <c r="T220" i="30"/>
  <c r="S220" i="30"/>
  <c r="R220" i="30"/>
  <c r="P220" i="30"/>
  <c r="B220" i="30"/>
  <c r="A220" i="30"/>
  <c r="W219" i="30"/>
  <c r="U219" i="30"/>
  <c r="T219" i="30"/>
  <c r="S219" i="30"/>
  <c r="R219" i="30"/>
  <c r="Q219" i="30"/>
  <c r="P219" i="30"/>
  <c r="B219" i="30"/>
  <c r="V219" i="30" s="1"/>
  <c r="A219" i="30"/>
  <c r="Q218" i="30"/>
  <c r="P218" i="30"/>
  <c r="B218" i="30"/>
  <c r="A218" i="30"/>
  <c r="V217" i="30"/>
  <c r="B217" i="30"/>
  <c r="A217" i="30"/>
  <c r="W216" i="30"/>
  <c r="V216" i="30"/>
  <c r="T216" i="30"/>
  <c r="S216" i="30"/>
  <c r="Q216" i="30"/>
  <c r="B216" i="30"/>
  <c r="U216" i="30" s="1"/>
  <c r="A216" i="30"/>
  <c r="W215" i="30"/>
  <c r="V215" i="30"/>
  <c r="U215" i="30"/>
  <c r="T215" i="30"/>
  <c r="R215" i="30"/>
  <c r="Q215" i="30"/>
  <c r="B215" i="30"/>
  <c r="A215" i="30"/>
  <c r="V214" i="30"/>
  <c r="U214" i="30"/>
  <c r="T214" i="30"/>
  <c r="S214" i="30"/>
  <c r="B214" i="30"/>
  <c r="A214" i="30"/>
  <c r="W213" i="30"/>
  <c r="U213" i="30"/>
  <c r="T213" i="30"/>
  <c r="S213" i="30"/>
  <c r="R213" i="30"/>
  <c r="Q213" i="30"/>
  <c r="P213" i="30"/>
  <c r="B213" i="30"/>
  <c r="V213" i="30" s="1"/>
  <c r="A213" i="30"/>
  <c r="W212" i="30"/>
  <c r="U212" i="30"/>
  <c r="R212" i="30"/>
  <c r="Q212" i="30"/>
  <c r="P212" i="30"/>
  <c r="B212" i="30"/>
  <c r="A212" i="30"/>
  <c r="V211" i="30"/>
  <c r="U211" i="30"/>
  <c r="S211" i="30"/>
  <c r="P211" i="30"/>
  <c r="B211" i="30"/>
  <c r="A211" i="30"/>
  <c r="W210" i="30"/>
  <c r="V210" i="30"/>
  <c r="T210" i="30"/>
  <c r="S210" i="30"/>
  <c r="Q210" i="30"/>
  <c r="B210" i="30"/>
  <c r="U210" i="30" s="1"/>
  <c r="A210" i="30"/>
  <c r="W209" i="30"/>
  <c r="V209" i="30"/>
  <c r="U209" i="30"/>
  <c r="B209" i="30"/>
  <c r="A209" i="30"/>
  <c r="T208" i="30"/>
  <c r="S208" i="30"/>
  <c r="R208" i="30"/>
  <c r="P208" i="30"/>
  <c r="B208" i="30"/>
  <c r="A208" i="30"/>
  <c r="W207" i="30"/>
  <c r="U207" i="30"/>
  <c r="T207" i="30"/>
  <c r="S207" i="30"/>
  <c r="R207" i="30"/>
  <c r="Q207" i="30"/>
  <c r="P207" i="30"/>
  <c r="B207" i="30"/>
  <c r="V207" i="30" s="1"/>
  <c r="A207" i="30"/>
  <c r="W206" i="30"/>
  <c r="U206" i="30"/>
  <c r="R206" i="30"/>
  <c r="Q206" i="30"/>
  <c r="B206" i="30"/>
  <c r="A206" i="30"/>
  <c r="B205" i="30"/>
  <c r="A205" i="30"/>
  <c r="W204" i="30"/>
  <c r="V204" i="30"/>
  <c r="T204" i="30"/>
  <c r="S204" i="30"/>
  <c r="Q204" i="30"/>
  <c r="B204" i="30"/>
  <c r="U204" i="30" s="1"/>
  <c r="A204" i="30"/>
  <c r="T203" i="30"/>
  <c r="Q203" i="30"/>
  <c r="B203" i="30"/>
  <c r="A203" i="30"/>
  <c r="V202" i="30"/>
  <c r="U202" i="30"/>
  <c r="P202" i="30"/>
  <c r="B202" i="30"/>
  <c r="A202" i="30"/>
  <c r="W201" i="30"/>
  <c r="U201" i="30"/>
  <c r="T201" i="30"/>
  <c r="S201" i="30"/>
  <c r="R201" i="30"/>
  <c r="Q201" i="30"/>
  <c r="P201" i="30"/>
  <c r="B201" i="30"/>
  <c r="V201" i="30" s="1"/>
  <c r="A201" i="30"/>
  <c r="B200" i="30"/>
  <c r="A200" i="30"/>
  <c r="V199" i="30"/>
  <c r="U199" i="30"/>
  <c r="S199" i="30"/>
  <c r="P199" i="30"/>
  <c r="B199" i="30"/>
  <c r="A199" i="30"/>
  <c r="W198" i="30"/>
  <c r="V198" i="30"/>
  <c r="T198" i="30"/>
  <c r="S198" i="30"/>
  <c r="Q198" i="30"/>
  <c r="B198" i="30"/>
  <c r="U198" i="30" s="1"/>
  <c r="A198" i="30"/>
  <c r="W197" i="30"/>
  <c r="R197" i="30"/>
  <c r="Q197" i="30"/>
  <c r="B197" i="30"/>
  <c r="A197" i="30"/>
  <c r="V196" i="30"/>
  <c r="U196" i="30"/>
  <c r="T196" i="30"/>
  <c r="S196" i="30"/>
  <c r="R196" i="30"/>
  <c r="P196" i="30"/>
  <c r="B196" i="30"/>
  <c r="A196" i="30"/>
  <c r="W195" i="30"/>
  <c r="U195" i="30"/>
  <c r="T195" i="30"/>
  <c r="S195" i="30"/>
  <c r="R195" i="30"/>
  <c r="Q195" i="30"/>
  <c r="P195" i="30"/>
  <c r="B195" i="30"/>
  <c r="V195" i="30" s="1"/>
  <c r="A195" i="30"/>
  <c r="Q194" i="30"/>
  <c r="B194" i="30"/>
  <c r="A194" i="30"/>
  <c r="V193" i="30"/>
  <c r="U193" i="30"/>
  <c r="S193" i="30"/>
  <c r="P193" i="30"/>
  <c r="B193" i="30"/>
  <c r="A193" i="30"/>
  <c r="W192" i="30"/>
  <c r="V192" i="30"/>
  <c r="T192" i="30"/>
  <c r="S192" i="30"/>
  <c r="Q192" i="30"/>
  <c r="B192" i="30"/>
  <c r="U192" i="30" s="1"/>
  <c r="A192" i="30"/>
  <c r="W191" i="30"/>
  <c r="V191" i="30"/>
  <c r="U191" i="30"/>
  <c r="T191" i="30"/>
  <c r="R191" i="30"/>
  <c r="Q191" i="30"/>
  <c r="B191" i="30"/>
  <c r="A191" i="30"/>
  <c r="V190" i="30"/>
  <c r="U190" i="30"/>
  <c r="T190" i="30"/>
  <c r="S190" i="30"/>
  <c r="R190" i="30"/>
  <c r="Q190" i="30"/>
  <c r="P190" i="30"/>
  <c r="B184" i="30"/>
  <c r="A184" i="30"/>
  <c r="AF183" i="30"/>
  <c r="AD183" i="30"/>
  <c r="AC183" i="30"/>
  <c r="AA183" i="30"/>
  <c r="B183" i="30"/>
  <c r="A183" i="30"/>
  <c r="AF182" i="30"/>
  <c r="AE182" i="30"/>
  <c r="AD182" i="30"/>
  <c r="AB182" i="30"/>
  <c r="AA182" i="30"/>
  <c r="Y182" i="30"/>
  <c r="B182" i="30"/>
  <c r="AC182" i="30" s="1"/>
  <c r="A182" i="30"/>
  <c r="AF181" i="30"/>
  <c r="AE181" i="30"/>
  <c r="AD181" i="30"/>
  <c r="AC181" i="30"/>
  <c r="AB181" i="30"/>
  <c r="Z181" i="30"/>
  <c r="Y181" i="30"/>
  <c r="B181" i="30"/>
  <c r="AA181" i="30" s="1"/>
  <c r="A181" i="30"/>
  <c r="AD180" i="30"/>
  <c r="AC180" i="30"/>
  <c r="AB180" i="30"/>
  <c r="AA180" i="30"/>
  <c r="Z180" i="30"/>
  <c r="B180" i="30"/>
  <c r="A180" i="30"/>
  <c r="Z179" i="30"/>
  <c r="B179" i="30"/>
  <c r="A179" i="30"/>
  <c r="AF178" i="30"/>
  <c r="AE178" i="30"/>
  <c r="AC178" i="30"/>
  <c r="Z178" i="30"/>
  <c r="Y178" i="30"/>
  <c r="B178" i="30"/>
  <c r="A178" i="30"/>
  <c r="AD177" i="30"/>
  <c r="AC177" i="30"/>
  <c r="B177" i="30"/>
  <c r="A177" i="30"/>
  <c r="AF176" i="30"/>
  <c r="AE176" i="30"/>
  <c r="AD176" i="30"/>
  <c r="AB176" i="30"/>
  <c r="AA176" i="30"/>
  <c r="Y176" i="30"/>
  <c r="B176" i="30"/>
  <c r="AC176" i="30" s="1"/>
  <c r="A176" i="30"/>
  <c r="AF175" i="30"/>
  <c r="AE175" i="30"/>
  <c r="AD175" i="30"/>
  <c r="AC175" i="30"/>
  <c r="AB175" i="30"/>
  <c r="Z175" i="30"/>
  <c r="Y175" i="30"/>
  <c r="B175" i="30"/>
  <c r="AA175" i="30" s="1"/>
  <c r="A175" i="30"/>
  <c r="AC174" i="30"/>
  <c r="AB174" i="30"/>
  <c r="AA174" i="30"/>
  <c r="Z174" i="30"/>
  <c r="B174" i="30"/>
  <c r="A174" i="30"/>
  <c r="B173" i="30"/>
  <c r="A173" i="30"/>
  <c r="AF172" i="30"/>
  <c r="AE172" i="30"/>
  <c r="AC172" i="30"/>
  <c r="AB172" i="30"/>
  <c r="AA172" i="30"/>
  <c r="Z172" i="30"/>
  <c r="Y172" i="30"/>
  <c r="B172" i="30"/>
  <c r="AD172" i="30" s="1"/>
  <c r="A172" i="30"/>
  <c r="AC171" i="30"/>
  <c r="AA171" i="30"/>
  <c r="B171" i="30"/>
  <c r="AD171" i="30" s="1"/>
  <c r="A171" i="30"/>
  <c r="AF170" i="30"/>
  <c r="B170" i="30"/>
  <c r="A170" i="30"/>
  <c r="AF169" i="30"/>
  <c r="AE169" i="30"/>
  <c r="AD169" i="30"/>
  <c r="AC169" i="30"/>
  <c r="AB169" i="30"/>
  <c r="Z169" i="30"/>
  <c r="Y169" i="30"/>
  <c r="B169" i="30"/>
  <c r="AA169" i="30" s="1"/>
  <c r="A169" i="30"/>
  <c r="B168" i="30"/>
  <c r="Z168" i="30" s="1"/>
  <c r="A168" i="30"/>
  <c r="AB167" i="30"/>
  <c r="AA167" i="30"/>
  <c r="B167" i="30"/>
  <c r="A167" i="30"/>
  <c r="AF166" i="30"/>
  <c r="AC166" i="30"/>
  <c r="B166" i="30"/>
  <c r="A166" i="30"/>
  <c r="AF165" i="30"/>
  <c r="AD165" i="30"/>
  <c r="AC165" i="30"/>
  <c r="AA165" i="30"/>
  <c r="Z165" i="30"/>
  <c r="Y165" i="30"/>
  <c r="B165" i="30"/>
  <c r="A165" i="30"/>
  <c r="B164" i="30"/>
  <c r="A164" i="30"/>
  <c r="B163" i="30"/>
  <c r="A163" i="30"/>
  <c r="AF162" i="30"/>
  <c r="AE162" i="30"/>
  <c r="AD162" i="30"/>
  <c r="AC162" i="30"/>
  <c r="AB162" i="30"/>
  <c r="B162" i="30"/>
  <c r="A162" i="30"/>
  <c r="AF161" i="30"/>
  <c r="AE161" i="30"/>
  <c r="AD161" i="30"/>
  <c r="AC161" i="30"/>
  <c r="AB161" i="30"/>
  <c r="AA161" i="30"/>
  <c r="Z161" i="30"/>
  <c r="B161" i="30"/>
  <c r="Y161" i="30" s="1"/>
  <c r="A161" i="30"/>
  <c r="AA160" i="30"/>
  <c r="Z160" i="30"/>
  <c r="Y160" i="30"/>
  <c r="B160" i="30"/>
  <c r="A160" i="30"/>
  <c r="AD159" i="30"/>
  <c r="AC159" i="30"/>
  <c r="AB159" i="30"/>
  <c r="B159" i="30"/>
  <c r="A159" i="30"/>
  <c r="AF158" i="30"/>
  <c r="AB158" i="30"/>
  <c r="AA158" i="30"/>
  <c r="Z158" i="30"/>
  <c r="Y158" i="30"/>
  <c r="B158" i="30"/>
  <c r="A158" i="30"/>
  <c r="Y157" i="30"/>
  <c r="B157" i="30"/>
  <c r="A157" i="30"/>
  <c r="AF156" i="30"/>
  <c r="AE156" i="30"/>
  <c r="AD156" i="30"/>
  <c r="AC156" i="30"/>
  <c r="AB156" i="30"/>
  <c r="B156" i="30"/>
  <c r="A156" i="30"/>
  <c r="AF155" i="30"/>
  <c r="AE155" i="30"/>
  <c r="AD155" i="30"/>
  <c r="AC155" i="30"/>
  <c r="AB155" i="30"/>
  <c r="AA155" i="30"/>
  <c r="Z155" i="30"/>
  <c r="B155" i="30"/>
  <c r="Y155" i="30" s="1"/>
  <c r="A155" i="30"/>
  <c r="B154" i="30"/>
  <c r="A154" i="30"/>
  <c r="AD153" i="30"/>
  <c r="AC153" i="30"/>
  <c r="AB153" i="30"/>
  <c r="B153" i="30"/>
  <c r="A153" i="30"/>
  <c r="AF152" i="30"/>
  <c r="AB152" i="30"/>
  <c r="AA152" i="30"/>
  <c r="Z152" i="30"/>
  <c r="Y152" i="30"/>
  <c r="B152" i="30"/>
  <c r="A152" i="30"/>
  <c r="Y151" i="30"/>
  <c r="B151" i="30"/>
  <c r="A151" i="30"/>
  <c r="AF150" i="30"/>
  <c r="AE150" i="30"/>
  <c r="AD150" i="30"/>
  <c r="AC150" i="30"/>
  <c r="AB150" i="30"/>
  <c r="B150" i="30"/>
  <c r="A150" i="30"/>
  <c r="AF149" i="30"/>
  <c r="AE149" i="30"/>
  <c r="AD149" i="30"/>
  <c r="AC149" i="30"/>
  <c r="AB149" i="30"/>
  <c r="AA149" i="30"/>
  <c r="Z149" i="30"/>
  <c r="B149" i="30"/>
  <c r="Y149" i="30" s="1"/>
  <c r="A149" i="30"/>
  <c r="B148" i="30"/>
  <c r="A148" i="30"/>
  <c r="AD147" i="30"/>
  <c r="AC147" i="30"/>
  <c r="AB147" i="30"/>
  <c r="B147" i="30"/>
  <c r="A147" i="30"/>
  <c r="AF146" i="30"/>
  <c r="AB146" i="30"/>
  <c r="AA146" i="30"/>
  <c r="Z146" i="30"/>
  <c r="Y146" i="30"/>
  <c r="B146" i="30"/>
  <c r="A146" i="30"/>
  <c r="B145" i="30"/>
  <c r="A145" i="30"/>
  <c r="AE144" i="30"/>
  <c r="AD144" i="30"/>
  <c r="AC144" i="30"/>
  <c r="AB144" i="30"/>
  <c r="AA144" i="30"/>
  <c r="Z144" i="30"/>
  <c r="Y144" i="30"/>
  <c r="B138" i="30"/>
  <c r="A138" i="30"/>
  <c r="B137" i="30"/>
  <c r="A137" i="30"/>
  <c r="Z136" i="30"/>
  <c r="Y136" i="30"/>
  <c r="U136" i="30"/>
  <c r="T136" i="30"/>
  <c r="B136" i="30"/>
  <c r="A136" i="30"/>
  <c r="W135" i="30"/>
  <c r="S135" i="30"/>
  <c r="B135" i="30"/>
  <c r="A135" i="30"/>
  <c r="Z134" i="30"/>
  <c r="Y134" i="30"/>
  <c r="X134" i="30"/>
  <c r="W134" i="30"/>
  <c r="V134" i="30"/>
  <c r="U134" i="30"/>
  <c r="T134" i="30"/>
  <c r="S134" i="30"/>
  <c r="B134" i="30"/>
  <c r="A134" i="30"/>
  <c r="Z133" i="30"/>
  <c r="Y133" i="30"/>
  <c r="X133" i="30"/>
  <c r="W133" i="30"/>
  <c r="V133" i="30"/>
  <c r="U133" i="30"/>
  <c r="T133" i="30"/>
  <c r="S133" i="30"/>
  <c r="B133" i="30"/>
  <c r="A133" i="30"/>
  <c r="X132" i="30"/>
  <c r="V132" i="30"/>
  <c r="U132" i="30"/>
  <c r="T132" i="30"/>
  <c r="B132" i="30"/>
  <c r="A132" i="30"/>
  <c r="T131" i="30"/>
  <c r="S131" i="30"/>
  <c r="B131" i="30"/>
  <c r="A131" i="30"/>
  <c r="Z130" i="30"/>
  <c r="Y130" i="30"/>
  <c r="U130" i="30"/>
  <c r="T130" i="30"/>
  <c r="B130" i="30"/>
  <c r="A130" i="30"/>
  <c r="Y129" i="30"/>
  <c r="X129" i="30"/>
  <c r="W129" i="30"/>
  <c r="S129" i="30"/>
  <c r="B129" i="30"/>
  <c r="A129" i="30"/>
  <c r="Z128" i="30"/>
  <c r="Y128" i="30"/>
  <c r="X128" i="30"/>
  <c r="W128" i="30"/>
  <c r="V128" i="30"/>
  <c r="U128" i="30"/>
  <c r="T128" i="30"/>
  <c r="S128" i="30"/>
  <c r="B128" i="30"/>
  <c r="A128" i="30"/>
  <c r="Z127" i="30"/>
  <c r="Y127" i="30"/>
  <c r="X127" i="30"/>
  <c r="W127" i="30"/>
  <c r="V127" i="30"/>
  <c r="U127" i="30"/>
  <c r="T127" i="30"/>
  <c r="S127" i="30"/>
  <c r="B127" i="30"/>
  <c r="A127" i="30"/>
  <c r="Y126" i="30"/>
  <c r="X126" i="30"/>
  <c r="W126" i="30"/>
  <c r="V126" i="30"/>
  <c r="U126" i="30"/>
  <c r="T126" i="30"/>
  <c r="B126" i="30"/>
  <c r="Z126" i="30" s="1"/>
  <c r="A126" i="30"/>
  <c r="V125" i="30"/>
  <c r="U125" i="30"/>
  <c r="S125" i="30"/>
  <c r="B125" i="30"/>
  <c r="A125" i="30"/>
  <c r="Z124" i="30"/>
  <c r="Y124" i="30"/>
  <c r="B124" i="30"/>
  <c r="A124" i="30"/>
  <c r="Z123" i="30"/>
  <c r="Y123" i="30"/>
  <c r="X123" i="30"/>
  <c r="W123" i="30"/>
  <c r="S123" i="30"/>
  <c r="B123" i="30"/>
  <c r="A123" i="30"/>
  <c r="Z122" i="30"/>
  <c r="Y122" i="30"/>
  <c r="X122" i="30"/>
  <c r="W122" i="30"/>
  <c r="V122" i="30"/>
  <c r="U122" i="30"/>
  <c r="T122" i="30"/>
  <c r="S122" i="30"/>
  <c r="B122" i="30"/>
  <c r="A122" i="30"/>
  <c r="Z121" i="30"/>
  <c r="Y121" i="30"/>
  <c r="X121" i="30"/>
  <c r="W121" i="30"/>
  <c r="V121" i="30"/>
  <c r="U121" i="30"/>
  <c r="T121" i="30"/>
  <c r="S121" i="30"/>
  <c r="B121" i="30"/>
  <c r="A121" i="30"/>
  <c r="Y120" i="30"/>
  <c r="X120" i="30"/>
  <c r="W120" i="30"/>
  <c r="V120" i="30"/>
  <c r="B120" i="30"/>
  <c r="Z120" i="30" s="1"/>
  <c r="A120" i="30"/>
  <c r="U119" i="30"/>
  <c r="B119" i="30"/>
  <c r="A119" i="30"/>
  <c r="B118" i="30"/>
  <c r="A118" i="30"/>
  <c r="Z117" i="30"/>
  <c r="Y117" i="30"/>
  <c r="X117" i="30"/>
  <c r="W117" i="30"/>
  <c r="B117" i="30"/>
  <c r="A117" i="30"/>
  <c r="Z116" i="30"/>
  <c r="Y116" i="30"/>
  <c r="X116" i="30"/>
  <c r="W116" i="30"/>
  <c r="V116" i="30"/>
  <c r="U116" i="30"/>
  <c r="T116" i="30"/>
  <c r="S116" i="30"/>
  <c r="B116" i="30"/>
  <c r="A116" i="30"/>
  <c r="V115" i="30"/>
  <c r="U115" i="30"/>
  <c r="S115" i="30"/>
  <c r="B115" i="30"/>
  <c r="A115" i="30"/>
  <c r="B114" i="30"/>
  <c r="A114" i="30"/>
  <c r="Z113" i="30"/>
  <c r="Y113" i="30"/>
  <c r="W113" i="30"/>
  <c r="B113" i="30"/>
  <c r="A113" i="30"/>
  <c r="Z112" i="30"/>
  <c r="Y112" i="30"/>
  <c r="X112" i="30"/>
  <c r="W112" i="30"/>
  <c r="U112" i="30"/>
  <c r="T112" i="30"/>
  <c r="B112" i="30"/>
  <c r="V112" i="30" s="1"/>
  <c r="A112" i="30"/>
  <c r="Y111" i="30"/>
  <c r="X111" i="30"/>
  <c r="W111" i="30"/>
  <c r="V111" i="30"/>
  <c r="U111" i="30"/>
  <c r="S111" i="30"/>
  <c r="B111" i="30"/>
  <c r="A111" i="30"/>
  <c r="Z110" i="30"/>
  <c r="Y110" i="30"/>
  <c r="X110" i="30"/>
  <c r="W110" i="30"/>
  <c r="V110" i="30"/>
  <c r="U110" i="30"/>
  <c r="T110" i="30"/>
  <c r="S110" i="30"/>
  <c r="B110" i="30"/>
  <c r="A110" i="30"/>
  <c r="Y109" i="30"/>
  <c r="T109" i="30"/>
  <c r="S109" i="30"/>
  <c r="B109" i="30"/>
  <c r="A109" i="30"/>
  <c r="Y108" i="30"/>
  <c r="X108" i="30"/>
  <c r="W108" i="30"/>
  <c r="V108" i="30"/>
  <c r="B108" i="30"/>
  <c r="Z108" i="30" s="1"/>
  <c r="A108" i="30"/>
  <c r="Z107" i="30"/>
  <c r="Y107" i="30"/>
  <c r="W107" i="30"/>
  <c r="V107" i="30"/>
  <c r="U107" i="30"/>
  <c r="T107" i="30"/>
  <c r="S107" i="30"/>
  <c r="B107" i="30"/>
  <c r="X107" i="30" s="1"/>
  <c r="A107" i="30"/>
  <c r="X106" i="30"/>
  <c r="W106" i="30"/>
  <c r="U106" i="30"/>
  <c r="S106" i="30"/>
  <c r="B106" i="30"/>
  <c r="A106" i="30"/>
  <c r="S105" i="30"/>
  <c r="B105" i="30"/>
  <c r="A105" i="30"/>
  <c r="Z104" i="30"/>
  <c r="Y104" i="30"/>
  <c r="X104" i="30"/>
  <c r="W104" i="30"/>
  <c r="V104" i="30"/>
  <c r="U104" i="30"/>
  <c r="T104" i="30"/>
  <c r="S104" i="30"/>
  <c r="B104" i="30"/>
  <c r="A104" i="30"/>
  <c r="Z103" i="30"/>
  <c r="Y103" i="30"/>
  <c r="X103" i="30"/>
  <c r="W103" i="30"/>
  <c r="V103" i="30"/>
  <c r="U103" i="30"/>
  <c r="B103" i="30"/>
  <c r="T103" i="30" s="1"/>
  <c r="A103" i="30"/>
  <c r="Y102" i="30"/>
  <c r="V102" i="30"/>
  <c r="U102" i="30"/>
  <c r="S102" i="30"/>
  <c r="B102" i="30"/>
  <c r="A102" i="30"/>
  <c r="U101" i="30"/>
  <c r="T101" i="30"/>
  <c r="S101" i="30"/>
  <c r="B101" i="30"/>
  <c r="A101" i="30"/>
  <c r="Z100" i="30"/>
  <c r="Y100" i="30"/>
  <c r="B100" i="30"/>
  <c r="A100" i="30"/>
  <c r="Z99" i="30"/>
  <c r="Y99" i="30"/>
  <c r="X99" i="30"/>
  <c r="W99" i="30"/>
  <c r="V99" i="30"/>
  <c r="B99" i="30"/>
  <c r="T99" i="30" s="1"/>
  <c r="A99" i="30"/>
  <c r="Y98" i="30"/>
  <c r="X98" i="30"/>
  <c r="W98" i="30"/>
  <c r="V98" i="30"/>
  <c r="U98" i="30"/>
  <c r="T98" i="30"/>
  <c r="S98" i="30"/>
  <c r="AF92" i="30"/>
  <c r="Z92" i="30"/>
  <c r="Y92" i="30"/>
  <c r="B92" i="30"/>
  <c r="A92" i="30"/>
  <c r="AF91" i="30"/>
  <c r="AE91" i="30"/>
  <c r="AD91" i="30"/>
  <c r="AB91" i="30"/>
  <c r="B91" i="30"/>
  <c r="AC91" i="30" s="1"/>
  <c r="A91" i="30"/>
  <c r="AF90" i="30"/>
  <c r="AE90" i="30"/>
  <c r="AD90" i="30"/>
  <c r="AC90" i="30"/>
  <c r="AB90" i="30"/>
  <c r="Z90" i="30"/>
  <c r="Y90" i="30"/>
  <c r="B90" i="30"/>
  <c r="AA90" i="30" s="1"/>
  <c r="A90" i="30"/>
  <c r="AD89" i="30"/>
  <c r="AC89" i="30"/>
  <c r="AB89" i="30"/>
  <c r="Z89" i="30"/>
  <c r="B89" i="30"/>
  <c r="A89" i="30"/>
  <c r="AA88" i="30"/>
  <c r="Z88" i="30"/>
  <c r="Y88" i="30"/>
  <c r="B88" i="30"/>
  <c r="A88" i="30"/>
  <c r="AF87" i="30"/>
  <c r="AE87" i="30"/>
  <c r="Y87" i="30"/>
  <c r="B87" i="30"/>
  <c r="A87" i="30"/>
  <c r="AF86" i="30"/>
  <c r="AD86" i="30"/>
  <c r="AC86" i="30"/>
  <c r="AB86" i="30"/>
  <c r="AA86" i="30"/>
  <c r="B86" i="30"/>
  <c r="AE86" i="30" s="1"/>
  <c r="A86" i="30"/>
  <c r="AA85" i="30"/>
  <c r="B85" i="30"/>
  <c r="A85" i="30"/>
  <c r="AC84" i="30"/>
  <c r="AB84" i="30"/>
  <c r="Z84" i="30"/>
  <c r="Y84" i="30"/>
  <c r="B84" i="30"/>
  <c r="A84" i="30"/>
  <c r="AE83" i="30"/>
  <c r="B83" i="30"/>
  <c r="A83" i="30"/>
  <c r="AF82" i="30"/>
  <c r="AE82" i="30"/>
  <c r="AD82" i="30"/>
  <c r="AC82" i="30"/>
  <c r="AB82" i="30"/>
  <c r="B82" i="30"/>
  <c r="AA82" i="30" s="1"/>
  <c r="A82" i="30"/>
  <c r="AF81" i="30"/>
  <c r="AE81" i="30"/>
  <c r="AD81" i="30"/>
  <c r="AC81" i="30"/>
  <c r="AB81" i="30"/>
  <c r="AA81" i="30"/>
  <c r="Z81" i="30"/>
  <c r="B81" i="30"/>
  <c r="Y81" i="30" s="1"/>
  <c r="A81" i="30"/>
  <c r="AD80" i="30"/>
  <c r="AB80" i="30"/>
  <c r="Z80" i="30"/>
  <c r="B80" i="30"/>
  <c r="A80" i="30"/>
  <c r="AA79" i="30"/>
  <c r="B79" i="30"/>
  <c r="A79" i="30"/>
  <c r="B78" i="30"/>
  <c r="A78" i="30"/>
  <c r="AF77" i="30"/>
  <c r="AE77" i="30"/>
  <c r="AD77" i="30"/>
  <c r="AC77" i="30"/>
  <c r="AB77" i="30"/>
  <c r="AA77" i="30"/>
  <c r="B77" i="30"/>
  <c r="Y77" i="30" s="1"/>
  <c r="A77" i="30"/>
  <c r="AE76" i="30"/>
  <c r="AC76" i="30"/>
  <c r="Z76" i="30"/>
  <c r="Y76" i="30"/>
  <c r="B76" i="30"/>
  <c r="AF76" i="30" s="1"/>
  <c r="A76" i="30"/>
  <c r="AC75" i="30"/>
  <c r="B75" i="30"/>
  <c r="A75" i="30"/>
  <c r="Z74" i="30"/>
  <c r="Y74" i="30"/>
  <c r="B74" i="30"/>
  <c r="A74" i="30"/>
  <c r="AF73" i="30"/>
  <c r="AE73" i="30"/>
  <c r="AD73" i="30"/>
  <c r="AB73" i="30"/>
  <c r="B73" i="30"/>
  <c r="AC73" i="30" s="1"/>
  <c r="A73" i="30"/>
  <c r="AF72" i="30"/>
  <c r="AE72" i="30"/>
  <c r="AD72" i="30"/>
  <c r="AC72" i="30"/>
  <c r="AB72" i="30"/>
  <c r="Z72" i="30"/>
  <c r="Y72" i="30"/>
  <c r="B72" i="30"/>
  <c r="AA72" i="30" s="1"/>
  <c r="A72" i="30"/>
  <c r="AB71" i="30"/>
  <c r="B71" i="30"/>
  <c r="A71" i="30"/>
  <c r="AF70" i="30"/>
  <c r="AA70" i="30"/>
  <c r="Z70" i="30"/>
  <c r="Y70" i="30"/>
  <c r="B70" i="30"/>
  <c r="A70" i="30"/>
  <c r="AE69" i="30"/>
  <c r="B69" i="30"/>
  <c r="A69" i="30"/>
  <c r="AF68" i="30"/>
  <c r="AD68" i="30"/>
  <c r="AC68" i="30"/>
  <c r="AB68" i="30"/>
  <c r="AA68" i="30"/>
  <c r="B68" i="30"/>
  <c r="AE68" i="30" s="1"/>
  <c r="A68" i="30"/>
  <c r="AF67" i="30"/>
  <c r="AB67" i="30"/>
  <c r="AA67" i="30"/>
  <c r="Y67" i="30"/>
  <c r="B67" i="30"/>
  <c r="A67" i="30"/>
  <c r="AB66" i="30"/>
  <c r="Z66" i="30"/>
  <c r="B66" i="30"/>
  <c r="A66" i="30"/>
  <c r="AF65" i="30"/>
  <c r="Z65" i="30"/>
  <c r="Y65" i="30"/>
  <c r="B65" i="30"/>
  <c r="AA65" i="30" s="1"/>
  <c r="A65" i="30"/>
  <c r="AF64" i="30"/>
  <c r="AD64" i="30"/>
  <c r="B64" i="30"/>
  <c r="A64" i="30"/>
  <c r="AF63" i="30"/>
  <c r="AE63" i="30"/>
  <c r="AD63" i="30"/>
  <c r="AC63" i="30"/>
  <c r="AB63" i="30"/>
  <c r="B63" i="30"/>
  <c r="AA63" i="30" s="1"/>
  <c r="A63" i="30"/>
  <c r="AF62" i="30"/>
  <c r="AE62" i="30"/>
  <c r="AD62" i="30"/>
  <c r="AC62" i="30"/>
  <c r="AB62" i="30"/>
  <c r="AA62" i="30"/>
  <c r="Z62" i="30"/>
  <c r="B62" i="30"/>
  <c r="Y62" i="30" s="1"/>
  <c r="A62" i="30"/>
  <c r="AA61" i="30"/>
  <c r="B61" i="30"/>
  <c r="A61" i="30"/>
  <c r="AB60" i="30"/>
  <c r="AA60" i="30"/>
  <c r="B60" i="30"/>
  <c r="AC60" i="30" s="1"/>
  <c r="A60" i="30"/>
  <c r="AF59" i="30"/>
  <c r="Y59" i="30"/>
  <c r="B59" i="30"/>
  <c r="A59" i="30"/>
  <c r="AF58" i="30"/>
  <c r="AE58" i="30"/>
  <c r="B58" i="30"/>
  <c r="A58" i="30"/>
  <c r="AF57" i="30"/>
  <c r="B57" i="30"/>
  <c r="A57" i="30"/>
  <c r="AF56" i="30"/>
  <c r="AE56" i="30"/>
  <c r="AD56" i="30"/>
  <c r="AC56" i="30"/>
  <c r="AB56" i="30"/>
  <c r="AA56" i="30"/>
  <c r="Z56" i="30"/>
  <c r="B56" i="30"/>
  <c r="Y56" i="30" s="1"/>
  <c r="A56" i="30"/>
  <c r="AF55" i="30"/>
  <c r="AE55" i="30"/>
  <c r="AD55" i="30"/>
  <c r="AC55" i="30"/>
  <c r="AA55" i="30"/>
  <c r="Z55" i="30"/>
  <c r="Y55" i="30"/>
  <c r="B55" i="30"/>
  <c r="AB55" i="30" s="1"/>
  <c r="A55" i="30"/>
  <c r="AE54" i="30"/>
  <c r="AD54" i="30"/>
  <c r="AB54" i="30"/>
  <c r="AA54" i="30"/>
  <c r="B54" i="30"/>
  <c r="AF54" i="30" s="1"/>
  <c r="A54" i="30"/>
  <c r="Z53" i="30"/>
  <c r="B53" i="30"/>
  <c r="A53" i="30"/>
  <c r="AE52" i="30"/>
  <c r="AD52" i="30"/>
  <c r="AC52" i="30"/>
  <c r="AB52" i="30"/>
  <c r="AA52" i="30"/>
  <c r="Z52" i="30"/>
  <c r="Y52" i="30"/>
  <c r="J17" i="30"/>
  <c r="I17" i="30"/>
  <c r="H17" i="30"/>
  <c r="G17" i="30"/>
  <c r="F17" i="30"/>
  <c r="J16" i="30"/>
  <c r="I16" i="30"/>
  <c r="H16" i="30"/>
  <c r="G16" i="30"/>
  <c r="K16" i="30" s="1"/>
  <c r="F16" i="30"/>
  <c r="J15" i="30"/>
  <c r="I15" i="30"/>
  <c r="H15" i="30"/>
  <c r="G15" i="30"/>
  <c r="F15" i="30"/>
  <c r="J14" i="30"/>
  <c r="I14" i="30"/>
  <c r="H14" i="30"/>
  <c r="G14" i="30"/>
  <c r="K14" i="30" s="1"/>
  <c r="F14" i="30"/>
  <c r="J13" i="30"/>
  <c r="I13" i="30"/>
  <c r="H13" i="30"/>
  <c r="G13" i="30"/>
  <c r="K13" i="30" s="1"/>
  <c r="F13" i="30"/>
  <c r="J12" i="30"/>
  <c r="I12" i="30"/>
  <c r="H12" i="30"/>
  <c r="G12" i="30"/>
  <c r="K12" i="30" s="1"/>
  <c r="F12" i="30"/>
  <c r="J11" i="30"/>
  <c r="I11" i="30"/>
  <c r="H11" i="30"/>
  <c r="K11" i="30" s="1"/>
  <c r="G11" i="30"/>
  <c r="F11" i="30"/>
  <c r="E7" i="30"/>
  <c r="D7" i="30"/>
  <c r="C7" i="30"/>
  <c r="B7" i="30"/>
  <c r="A7" i="30"/>
  <c r="A5" i="30"/>
  <c r="J2" i="30"/>
  <c r="H2" i="30"/>
  <c r="F2" i="30"/>
  <c r="D2" i="30"/>
  <c r="B2" i="30"/>
  <c r="A1" i="30"/>
  <c r="V230" i="29"/>
  <c r="U230" i="29"/>
  <c r="S230" i="29"/>
  <c r="R230" i="29"/>
  <c r="B230" i="29"/>
  <c r="Q230" i="29" s="1"/>
  <c r="A230" i="29"/>
  <c r="B229" i="29"/>
  <c r="A229" i="29"/>
  <c r="R228" i="29"/>
  <c r="B228" i="29"/>
  <c r="A228" i="29"/>
  <c r="W227" i="29"/>
  <c r="V227" i="29"/>
  <c r="U227" i="29"/>
  <c r="R227" i="29"/>
  <c r="P227" i="29"/>
  <c r="B227" i="29"/>
  <c r="A227" i="29"/>
  <c r="B226" i="29"/>
  <c r="A226" i="29"/>
  <c r="W225" i="29"/>
  <c r="V225" i="29"/>
  <c r="U225" i="29"/>
  <c r="T225" i="29"/>
  <c r="S225" i="29"/>
  <c r="R225" i="29"/>
  <c r="Q225" i="29"/>
  <c r="B225" i="29"/>
  <c r="P225" i="29" s="1"/>
  <c r="A225" i="29"/>
  <c r="W224" i="29"/>
  <c r="V224" i="29"/>
  <c r="U224" i="29"/>
  <c r="S224" i="29"/>
  <c r="Q224" i="29"/>
  <c r="B224" i="29"/>
  <c r="T224" i="29" s="1"/>
  <c r="A224" i="29"/>
  <c r="V223" i="29"/>
  <c r="U223" i="29"/>
  <c r="T223" i="29"/>
  <c r="S223" i="29"/>
  <c r="R223" i="29"/>
  <c r="P223" i="29"/>
  <c r="B223" i="29"/>
  <c r="W223" i="29" s="1"/>
  <c r="A223" i="29"/>
  <c r="R222" i="29"/>
  <c r="B222" i="29"/>
  <c r="A222" i="29"/>
  <c r="R221" i="29"/>
  <c r="B221" i="29"/>
  <c r="A221" i="29"/>
  <c r="W220" i="29"/>
  <c r="V220" i="29"/>
  <c r="U220" i="29"/>
  <c r="T220" i="29"/>
  <c r="P220" i="29"/>
  <c r="B220" i="29"/>
  <c r="A220" i="29"/>
  <c r="W219" i="29"/>
  <c r="V219" i="29"/>
  <c r="U219" i="29"/>
  <c r="T219" i="29"/>
  <c r="S219" i="29"/>
  <c r="R219" i="29"/>
  <c r="Q219" i="29"/>
  <c r="B219" i="29"/>
  <c r="P219" i="29" s="1"/>
  <c r="A219" i="29"/>
  <c r="R218" i="29"/>
  <c r="B218" i="29"/>
  <c r="A218" i="29"/>
  <c r="R217" i="29"/>
  <c r="B217" i="29"/>
  <c r="A217" i="29"/>
  <c r="W216" i="29"/>
  <c r="T216" i="29"/>
  <c r="S216" i="29"/>
  <c r="R216" i="29"/>
  <c r="P216" i="29"/>
  <c r="B216" i="29"/>
  <c r="A216" i="29"/>
  <c r="B215" i="29"/>
  <c r="A215" i="29"/>
  <c r="B214" i="29"/>
  <c r="A214" i="29"/>
  <c r="W213" i="29"/>
  <c r="V213" i="29"/>
  <c r="U213" i="29"/>
  <c r="T213" i="29"/>
  <c r="S213" i="29"/>
  <c r="R213" i="29"/>
  <c r="Q213" i="29"/>
  <c r="B213" i="29"/>
  <c r="P213" i="29" s="1"/>
  <c r="A213" i="29"/>
  <c r="V212" i="29"/>
  <c r="U212" i="29"/>
  <c r="S212" i="29"/>
  <c r="R212" i="29"/>
  <c r="Q212" i="29"/>
  <c r="B212" i="29"/>
  <c r="P212" i="29" s="1"/>
  <c r="A212" i="29"/>
  <c r="B211" i="29"/>
  <c r="A211" i="29"/>
  <c r="T210" i="29"/>
  <c r="R210" i="29"/>
  <c r="B210" i="29"/>
  <c r="A210" i="29"/>
  <c r="W209" i="29"/>
  <c r="V209" i="29"/>
  <c r="U209" i="29"/>
  <c r="R209" i="29"/>
  <c r="P209" i="29"/>
  <c r="B209" i="29"/>
  <c r="A209" i="29"/>
  <c r="T208" i="29"/>
  <c r="P208" i="29"/>
  <c r="B208" i="29"/>
  <c r="U208" i="29" s="1"/>
  <c r="A208" i="29"/>
  <c r="W207" i="29"/>
  <c r="V207" i="29"/>
  <c r="U207" i="29"/>
  <c r="T207" i="29"/>
  <c r="S207" i="29"/>
  <c r="R207" i="29"/>
  <c r="Q207" i="29"/>
  <c r="B207" i="29"/>
  <c r="P207" i="29" s="1"/>
  <c r="A207" i="29"/>
  <c r="W206" i="29"/>
  <c r="V206" i="29"/>
  <c r="U206" i="29"/>
  <c r="S206" i="29"/>
  <c r="Q206" i="29"/>
  <c r="B206" i="29"/>
  <c r="T206" i="29" s="1"/>
  <c r="A206" i="29"/>
  <c r="V205" i="29"/>
  <c r="U205" i="29"/>
  <c r="T205" i="29"/>
  <c r="S205" i="29"/>
  <c r="R205" i="29"/>
  <c r="P205" i="29"/>
  <c r="B205" i="29"/>
  <c r="W205" i="29" s="1"/>
  <c r="A205" i="29"/>
  <c r="S204" i="29"/>
  <c r="R204" i="29"/>
  <c r="P204" i="29"/>
  <c r="B204" i="29"/>
  <c r="A204" i="29"/>
  <c r="V203" i="29"/>
  <c r="R203" i="29"/>
  <c r="B203" i="29"/>
  <c r="A203" i="29"/>
  <c r="W202" i="29"/>
  <c r="V202" i="29"/>
  <c r="U202" i="29"/>
  <c r="T202" i="29"/>
  <c r="P202" i="29"/>
  <c r="B202" i="29"/>
  <c r="A202" i="29"/>
  <c r="B201" i="29"/>
  <c r="A201" i="29"/>
  <c r="W200" i="29"/>
  <c r="R200" i="29"/>
  <c r="B200" i="29"/>
  <c r="A200" i="29"/>
  <c r="B199" i="29"/>
  <c r="A199" i="29"/>
  <c r="W198" i="29"/>
  <c r="V198" i="29"/>
  <c r="U198" i="29"/>
  <c r="S198" i="29"/>
  <c r="Q198" i="29"/>
  <c r="B198" i="29"/>
  <c r="T198" i="29" s="1"/>
  <c r="A198" i="29"/>
  <c r="W197" i="29"/>
  <c r="U197" i="29"/>
  <c r="S197" i="29"/>
  <c r="Q197" i="29"/>
  <c r="B197" i="29"/>
  <c r="T197" i="29" s="1"/>
  <c r="A197" i="29"/>
  <c r="Q196" i="29"/>
  <c r="B196" i="29"/>
  <c r="A196" i="29"/>
  <c r="T195" i="29"/>
  <c r="S195" i="29"/>
  <c r="B195" i="29"/>
  <c r="W195" i="29" s="1"/>
  <c r="A195" i="29"/>
  <c r="B194" i="29"/>
  <c r="A194" i="29"/>
  <c r="W193" i="29"/>
  <c r="U193" i="29"/>
  <c r="B193" i="29"/>
  <c r="A193" i="29"/>
  <c r="W192" i="29"/>
  <c r="V192" i="29"/>
  <c r="U192" i="29"/>
  <c r="S192" i="29"/>
  <c r="Q192" i="29"/>
  <c r="B192" i="29"/>
  <c r="T192" i="29" s="1"/>
  <c r="A192" i="29"/>
  <c r="W191" i="29"/>
  <c r="U191" i="29"/>
  <c r="S191" i="29"/>
  <c r="B191" i="29"/>
  <c r="A191" i="29"/>
  <c r="V190" i="29"/>
  <c r="U190" i="29"/>
  <c r="T190" i="29"/>
  <c r="S190" i="29"/>
  <c r="R190" i="29"/>
  <c r="Q190" i="29"/>
  <c r="P190" i="29"/>
  <c r="AE184" i="29"/>
  <c r="AC184" i="29"/>
  <c r="Z184" i="29"/>
  <c r="Y184" i="29"/>
  <c r="B184" i="29"/>
  <c r="AF184" i="29" s="1"/>
  <c r="A184" i="29"/>
  <c r="AE183" i="29"/>
  <c r="B183" i="29"/>
  <c r="A183" i="29"/>
  <c r="AF182" i="29"/>
  <c r="AE182" i="29"/>
  <c r="AD182" i="29"/>
  <c r="AC182" i="29"/>
  <c r="AA182" i="29"/>
  <c r="Z182" i="29"/>
  <c r="Y182" i="29"/>
  <c r="B182" i="29"/>
  <c r="AB182" i="29" s="1"/>
  <c r="A182" i="29"/>
  <c r="AF181" i="29"/>
  <c r="AE181" i="29"/>
  <c r="AD181" i="29"/>
  <c r="AC181" i="29"/>
  <c r="AB181" i="29"/>
  <c r="AA181" i="29"/>
  <c r="Y181" i="29"/>
  <c r="B181" i="29"/>
  <c r="Z181" i="29" s="1"/>
  <c r="A181" i="29"/>
  <c r="AF180" i="29"/>
  <c r="AE180" i="29"/>
  <c r="AD180" i="29"/>
  <c r="AC180" i="29"/>
  <c r="AB180" i="29"/>
  <c r="AA180" i="29"/>
  <c r="Z180" i="29"/>
  <c r="Y180" i="29"/>
  <c r="B180" i="29"/>
  <c r="A180" i="29"/>
  <c r="AB179" i="29"/>
  <c r="AA179" i="29"/>
  <c r="Y179" i="29"/>
  <c r="B179" i="29"/>
  <c r="A179" i="29"/>
  <c r="AE178" i="29"/>
  <c r="AC178" i="29"/>
  <c r="Z178" i="29"/>
  <c r="Y178" i="29"/>
  <c r="B178" i="29"/>
  <c r="AF178" i="29" s="1"/>
  <c r="A178" i="29"/>
  <c r="AE177" i="29"/>
  <c r="AC177" i="29"/>
  <c r="AA177" i="29"/>
  <c r="B177" i="29"/>
  <c r="A177" i="29"/>
  <c r="AF176" i="29"/>
  <c r="AE176" i="29"/>
  <c r="AD176" i="29"/>
  <c r="AC176" i="29"/>
  <c r="AA176" i="29"/>
  <c r="Z176" i="29"/>
  <c r="Y176" i="29"/>
  <c r="B176" i="29"/>
  <c r="AB176" i="29" s="1"/>
  <c r="A176" i="29"/>
  <c r="AF175" i="29"/>
  <c r="AE175" i="29"/>
  <c r="AD175" i="29"/>
  <c r="AC175" i="29"/>
  <c r="AB175" i="29"/>
  <c r="AA175" i="29"/>
  <c r="Y175" i="29"/>
  <c r="B175" i="29"/>
  <c r="Z175" i="29" s="1"/>
  <c r="A175" i="29"/>
  <c r="AF174" i="29"/>
  <c r="AE174" i="29"/>
  <c r="AD174" i="29"/>
  <c r="AC174" i="29"/>
  <c r="AB174" i="29"/>
  <c r="AA174" i="29"/>
  <c r="Z174" i="29"/>
  <c r="Y174" i="29"/>
  <c r="B174" i="29"/>
  <c r="A174" i="29"/>
  <c r="Y173" i="29"/>
  <c r="B173" i="29"/>
  <c r="A173" i="29"/>
  <c r="AE172" i="29"/>
  <c r="AC172" i="29"/>
  <c r="Z172" i="29"/>
  <c r="Y172" i="29"/>
  <c r="B172" i="29"/>
  <c r="AF172" i="29" s="1"/>
  <c r="A172" i="29"/>
  <c r="B171" i="29"/>
  <c r="A171" i="29"/>
  <c r="AF170" i="29"/>
  <c r="AE170" i="29"/>
  <c r="AD170" i="29"/>
  <c r="AC170" i="29"/>
  <c r="AA170" i="29"/>
  <c r="Z170" i="29"/>
  <c r="Y170" i="29"/>
  <c r="B170" i="29"/>
  <c r="AB170" i="29" s="1"/>
  <c r="A170" i="29"/>
  <c r="AF169" i="29"/>
  <c r="AE169" i="29"/>
  <c r="AD169" i="29"/>
  <c r="AC169" i="29"/>
  <c r="AB169" i="29"/>
  <c r="AA169" i="29"/>
  <c r="Y169" i="29"/>
  <c r="B169" i="29"/>
  <c r="Z169" i="29" s="1"/>
  <c r="A169" i="29"/>
  <c r="AF168" i="29"/>
  <c r="AE168" i="29"/>
  <c r="AD168" i="29"/>
  <c r="AC168" i="29"/>
  <c r="AB168" i="29"/>
  <c r="AA168" i="29"/>
  <c r="Z168" i="29"/>
  <c r="Y168" i="29"/>
  <c r="B168" i="29"/>
  <c r="A168" i="29"/>
  <c r="AE167" i="29"/>
  <c r="AB167" i="29"/>
  <c r="AA167" i="29"/>
  <c r="Y167" i="29"/>
  <c r="B167" i="29"/>
  <c r="A167" i="29"/>
  <c r="AE166" i="29"/>
  <c r="AC166" i="29"/>
  <c r="Z166" i="29"/>
  <c r="Y166" i="29"/>
  <c r="B166" i="29"/>
  <c r="AF166" i="29" s="1"/>
  <c r="A166" i="29"/>
  <c r="AF165" i="29"/>
  <c r="AE165" i="29"/>
  <c r="AC165" i="29"/>
  <c r="AA165" i="29"/>
  <c r="B165" i="29"/>
  <c r="A165" i="29"/>
  <c r="AF164" i="29"/>
  <c r="AE164" i="29"/>
  <c r="AD164" i="29"/>
  <c r="AC164" i="29"/>
  <c r="AA164" i="29"/>
  <c r="Z164" i="29"/>
  <c r="Y164" i="29"/>
  <c r="B164" i="29"/>
  <c r="AB164" i="29" s="1"/>
  <c r="A164" i="29"/>
  <c r="AF163" i="29"/>
  <c r="AE163" i="29"/>
  <c r="AD163" i="29"/>
  <c r="AC163" i="29"/>
  <c r="AB163" i="29"/>
  <c r="AA163" i="29"/>
  <c r="Y163" i="29"/>
  <c r="B163" i="29"/>
  <c r="Z163" i="29" s="1"/>
  <c r="A163" i="29"/>
  <c r="AF162" i="29"/>
  <c r="AE162" i="29"/>
  <c r="AD162" i="29"/>
  <c r="AC162" i="29"/>
  <c r="AB162" i="29"/>
  <c r="AA162" i="29"/>
  <c r="Z162" i="29"/>
  <c r="Y162" i="29"/>
  <c r="B162" i="29"/>
  <c r="A162" i="29"/>
  <c r="AE161" i="29"/>
  <c r="AB161" i="29"/>
  <c r="Z161" i="29"/>
  <c r="B161" i="29"/>
  <c r="A161" i="29"/>
  <c r="AC160" i="29"/>
  <c r="B160" i="29"/>
  <c r="A160" i="29"/>
  <c r="AF159" i="29"/>
  <c r="AC159" i="29"/>
  <c r="B159" i="29"/>
  <c r="A159" i="29"/>
  <c r="AF158" i="29"/>
  <c r="AE158" i="29"/>
  <c r="AD158" i="29"/>
  <c r="AC158" i="29"/>
  <c r="AA158" i="29"/>
  <c r="Z158" i="29"/>
  <c r="Y158" i="29"/>
  <c r="B158" i="29"/>
  <c r="AB158" i="29" s="1"/>
  <c r="A158" i="29"/>
  <c r="AF157" i="29"/>
  <c r="AE157" i="29"/>
  <c r="AD157" i="29"/>
  <c r="AC157" i="29"/>
  <c r="AB157" i="29"/>
  <c r="AA157" i="29"/>
  <c r="Y157" i="29"/>
  <c r="B157" i="29"/>
  <c r="Z157" i="29" s="1"/>
  <c r="A157" i="29"/>
  <c r="AF156" i="29"/>
  <c r="AE156" i="29"/>
  <c r="AD156" i="29"/>
  <c r="AC156" i="29"/>
  <c r="AB156" i="29"/>
  <c r="AA156" i="29"/>
  <c r="Z156" i="29"/>
  <c r="Y156" i="29"/>
  <c r="B156" i="29"/>
  <c r="A156" i="29"/>
  <c r="AE155" i="29"/>
  <c r="AB155" i="29"/>
  <c r="AA155" i="29"/>
  <c r="Z155" i="29"/>
  <c r="Y155" i="29"/>
  <c r="B155" i="29"/>
  <c r="A155" i="29"/>
  <c r="AC154" i="29"/>
  <c r="Z154" i="29"/>
  <c r="Y154" i="29"/>
  <c r="B154" i="29"/>
  <c r="A154" i="29"/>
  <c r="AF153" i="29"/>
  <c r="AE153" i="29"/>
  <c r="AC153" i="29"/>
  <c r="AA153" i="29"/>
  <c r="B153" i="29"/>
  <c r="A153" i="29"/>
  <c r="AF152" i="29"/>
  <c r="AE152" i="29"/>
  <c r="AD152" i="29"/>
  <c r="AC152" i="29"/>
  <c r="AA152" i="29"/>
  <c r="Z152" i="29"/>
  <c r="Y152" i="29"/>
  <c r="B152" i="29"/>
  <c r="AB152" i="29" s="1"/>
  <c r="A152" i="29"/>
  <c r="AF151" i="29"/>
  <c r="AE151" i="29"/>
  <c r="AD151" i="29"/>
  <c r="AC151" i="29"/>
  <c r="AB151" i="29"/>
  <c r="AA151" i="29"/>
  <c r="Y151" i="29"/>
  <c r="B151" i="29"/>
  <c r="Z151" i="29" s="1"/>
  <c r="A151" i="29"/>
  <c r="AF150" i="29"/>
  <c r="AE150" i="29"/>
  <c r="AD150" i="29"/>
  <c r="AC150" i="29"/>
  <c r="AB150" i="29"/>
  <c r="AA150" i="29"/>
  <c r="Z150" i="29"/>
  <c r="Y150" i="29"/>
  <c r="B150" i="29"/>
  <c r="A150" i="29"/>
  <c r="AB149" i="29"/>
  <c r="AA149" i="29"/>
  <c r="B149" i="29"/>
  <c r="AE149" i="29" s="1"/>
  <c r="A149" i="29"/>
  <c r="B148" i="29"/>
  <c r="A148" i="29"/>
  <c r="AF147" i="29"/>
  <c r="AE147" i="29"/>
  <c r="B147" i="29"/>
  <c r="A147" i="29"/>
  <c r="AF146" i="29"/>
  <c r="AE146" i="29"/>
  <c r="AD146" i="29"/>
  <c r="AC146" i="29"/>
  <c r="AA146" i="29"/>
  <c r="Z146" i="29"/>
  <c r="Y146" i="29"/>
  <c r="B146" i="29"/>
  <c r="AB146" i="29" s="1"/>
  <c r="A146" i="29"/>
  <c r="AF145" i="29"/>
  <c r="AE145" i="29"/>
  <c r="AD145" i="29"/>
  <c r="AC145" i="29"/>
  <c r="AB145" i="29"/>
  <c r="AA145" i="29"/>
  <c r="Y145" i="29"/>
  <c r="B145" i="29"/>
  <c r="Z145" i="29" s="1"/>
  <c r="A145" i="29"/>
  <c r="AE144" i="29"/>
  <c r="AD144" i="29"/>
  <c r="AC144" i="29"/>
  <c r="AB144" i="29"/>
  <c r="AA144" i="29"/>
  <c r="Z144" i="29"/>
  <c r="Y144" i="29"/>
  <c r="X138" i="29"/>
  <c r="V138" i="29"/>
  <c r="S138" i="29"/>
  <c r="B138" i="29"/>
  <c r="A138" i="29"/>
  <c r="Z137" i="29"/>
  <c r="Y137" i="29"/>
  <c r="X137" i="29"/>
  <c r="V137" i="29"/>
  <c r="T137" i="29"/>
  <c r="B137" i="29"/>
  <c r="W137" i="29" s="1"/>
  <c r="A137" i="29"/>
  <c r="Z136" i="29"/>
  <c r="Y136" i="29"/>
  <c r="X136" i="29"/>
  <c r="V136" i="29"/>
  <c r="T136" i="29"/>
  <c r="B136" i="29"/>
  <c r="W136" i="29" s="1"/>
  <c r="A136" i="29"/>
  <c r="U135" i="29"/>
  <c r="T135" i="29"/>
  <c r="B135" i="29"/>
  <c r="A135" i="29"/>
  <c r="Z134" i="29"/>
  <c r="W134" i="29"/>
  <c r="V134" i="29"/>
  <c r="T134" i="29"/>
  <c r="B134" i="29"/>
  <c r="A134" i="29"/>
  <c r="Z133" i="29"/>
  <c r="X133" i="29"/>
  <c r="U133" i="29"/>
  <c r="S133" i="29"/>
  <c r="B133" i="29"/>
  <c r="A133" i="29"/>
  <c r="Z132" i="29"/>
  <c r="X132" i="29"/>
  <c r="V132" i="29"/>
  <c r="S132" i="29"/>
  <c r="B132" i="29"/>
  <c r="A132" i="29"/>
  <c r="Z131" i="29"/>
  <c r="Y131" i="29"/>
  <c r="X131" i="29"/>
  <c r="V131" i="29"/>
  <c r="T131" i="29"/>
  <c r="B131" i="29"/>
  <c r="W131" i="29" s="1"/>
  <c r="A131" i="29"/>
  <c r="T130" i="29"/>
  <c r="B130" i="29"/>
  <c r="A130" i="29"/>
  <c r="Y129" i="29"/>
  <c r="X129" i="29"/>
  <c r="W129" i="29"/>
  <c r="U129" i="29"/>
  <c r="B129" i="29"/>
  <c r="A129" i="29"/>
  <c r="Z128" i="29"/>
  <c r="W128" i="29"/>
  <c r="V128" i="29"/>
  <c r="T128" i="29"/>
  <c r="S128" i="29"/>
  <c r="B128" i="29"/>
  <c r="U128" i="29" s="1"/>
  <c r="A128" i="29"/>
  <c r="B127" i="29"/>
  <c r="A127" i="29"/>
  <c r="Z126" i="29"/>
  <c r="X126" i="29"/>
  <c r="V126" i="29"/>
  <c r="S126" i="29"/>
  <c r="B126" i="29"/>
  <c r="A126" i="29"/>
  <c r="Z125" i="29"/>
  <c r="Y125" i="29"/>
  <c r="X125" i="29"/>
  <c r="V125" i="29"/>
  <c r="T125" i="29"/>
  <c r="B125" i="29"/>
  <c r="W125" i="29" s="1"/>
  <c r="A125" i="29"/>
  <c r="Z124" i="29"/>
  <c r="Y124" i="29"/>
  <c r="X124" i="29"/>
  <c r="V124" i="29"/>
  <c r="B124" i="29"/>
  <c r="A124" i="29"/>
  <c r="Y123" i="29"/>
  <c r="X123" i="29"/>
  <c r="W123" i="29"/>
  <c r="U123" i="29"/>
  <c r="T123" i="29"/>
  <c r="B123" i="29"/>
  <c r="V123" i="29" s="1"/>
  <c r="A123" i="29"/>
  <c r="T122" i="29"/>
  <c r="S122" i="29"/>
  <c r="B122" i="29"/>
  <c r="A122" i="29"/>
  <c r="Z121" i="29"/>
  <c r="X121" i="29"/>
  <c r="U121" i="29"/>
  <c r="T121" i="29"/>
  <c r="S121" i="29"/>
  <c r="B121" i="29"/>
  <c r="A121" i="29"/>
  <c r="X120" i="29"/>
  <c r="V120" i="29"/>
  <c r="S120" i="29"/>
  <c r="B120" i="29"/>
  <c r="A120" i="29"/>
  <c r="Z119" i="29"/>
  <c r="Y119" i="29"/>
  <c r="X119" i="29"/>
  <c r="V119" i="29"/>
  <c r="T119" i="29"/>
  <c r="B119" i="29"/>
  <c r="W119" i="29" s="1"/>
  <c r="A119" i="29"/>
  <c r="Z118" i="29"/>
  <c r="Y118" i="29"/>
  <c r="X118" i="29"/>
  <c r="V118" i="29"/>
  <c r="T118" i="29"/>
  <c r="B118" i="29"/>
  <c r="W118" i="29" s="1"/>
  <c r="A118" i="29"/>
  <c r="T117" i="29"/>
  <c r="B117" i="29"/>
  <c r="A117" i="29"/>
  <c r="Z116" i="29"/>
  <c r="W116" i="29"/>
  <c r="V116" i="29"/>
  <c r="T116" i="29"/>
  <c r="B116" i="29"/>
  <c r="A116" i="29"/>
  <c r="B115" i="29"/>
  <c r="A115" i="29"/>
  <c r="Z114" i="29"/>
  <c r="X114" i="29"/>
  <c r="V114" i="29"/>
  <c r="S114" i="29"/>
  <c r="B114" i="29"/>
  <c r="A114" i="29"/>
  <c r="Z113" i="29"/>
  <c r="Y113" i="29"/>
  <c r="X113" i="29"/>
  <c r="V113" i="29"/>
  <c r="T113" i="29"/>
  <c r="B113" i="29"/>
  <c r="W113" i="29" s="1"/>
  <c r="A113" i="29"/>
  <c r="B112" i="29"/>
  <c r="A112" i="29"/>
  <c r="Y111" i="29"/>
  <c r="X111" i="29"/>
  <c r="W111" i="29"/>
  <c r="U111" i="29"/>
  <c r="B111" i="29"/>
  <c r="A111" i="29"/>
  <c r="Z110" i="29"/>
  <c r="W110" i="29"/>
  <c r="V110" i="29"/>
  <c r="T110" i="29"/>
  <c r="S110" i="29"/>
  <c r="B110" i="29"/>
  <c r="U110" i="29" s="1"/>
  <c r="A110" i="29"/>
  <c r="S109" i="29"/>
  <c r="B109" i="29"/>
  <c r="A109" i="29"/>
  <c r="X108" i="29"/>
  <c r="V108" i="29"/>
  <c r="B108" i="29"/>
  <c r="Z108" i="29" s="1"/>
  <c r="A108" i="29"/>
  <c r="Z107" i="29"/>
  <c r="X107" i="29"/>
  <c r="V107" i="29"/>
  <c r="T107" i="29"/>
  <c r="B107" i="29"/>
  <c r="A107" i="29"/>
  <c r="Z106" i="29"/>
  <c r="Y106" i="29"/>
  <c r="X106" i="29"/>
  <c r="W106" i="29"/>
  <c r="V106" i="29"/>
  <c r="T106" i="29"/>
  <c r="B106" i="29"/>
  <c r="A106" i="29"/>
  <c r="Z105" i="29"/>
  <c r="Y105" i="29"/>
  <c r="W105" i="29"/>
  <c r="V105" i="29"/>
  <c r="B105" i="29"/>
  <c r="S105" i="29" s="1"/>
  <c r="A105" i="29"/>
  <c r="W104" i="29"/>
  <c r="V104" i="29"/>
  <c r="U104" i="29"/>
  <c r="S104" i="29"/>
  <c r="B104" i="29"/>
  <c r="A104" i="29"/>
  <c r="S103" i="29"/>
  <c r="B103" i="29"/>
  <c r="A103" i="29"/>
  <c r="X102" i="29"/>
  <c r="V102" i="29"/>
  <c r="B102" i="29"/>
  <c r="Z102" i="29" s="1"/>
  <c r="A102" i="29"/>
  <c r="Z101" i="29"/>
  <c r="X101" i="29"/>
  <c r="V101" i="29"/>
  <c r="T101" i="29"/>
  <c r="B101" i="29"/>
  <c r="A101" i="29"/>
  <c r="Z100" i="29"/>
  <c r="Y100" i="29"/>
  <c r="X100" i="29"/>
  <c r="W100" i="29"/>
  <c r="V100" i="29"/>
  <c r="T100" i="29"/>
  <c r="B100" i="29"/>
  <c r="A100" i="29"/>
  <c r="Z99" i="29"/>
  <c r="Y99" i="29"/>
  <c r="W99" i="29"/>
  <c r="V99" i="29"/>
  <c r="B99" i="29"/>
  <c r="S99" i="29" s="1"/>
  <c r="A99" i="29"/>
  <c r="Y98" i="29"/>
  <c r="X98" i="29"/>
  <c r="W98" i="29"/>
  <c r="V98" i="29"/>
  <c r="U98" i="29"/>
  <c r="T98" i="29"/>
  <c r="S98" i="29"/>
  <c r="AF92" i="29"/>
  <c r="AE92" i="29"/>
  <c r="AA92" i="29"/>
  <c r="B92" i="29"/>
  <c r="A92" i="29"/>
  <c r="AF91" i="29"/>
  <c r="AE91" i="29"/>
  <c r="AD91" i="29"/>
  <c r="AC91" i="29"/>
  <c r="AA91" i="29"/>
  <c r="Z91" i="29"/>
  <c r="Y91" i="29"/>
  <c r="B91" i="29"/>
  <c r="AB91" i="29" s="1"/>
  <c r="A91" i="29"/>
  <c r="AF90" i="29"/>
  <c r="AE90" i="29"/>
  <c r="AD90" i="29"/>
  <c r="AC90" i="29"/>
  <c r="AB90" i="29"/>
  <c r="AA90" i="29"/>
  <c r="Y90" i="29"/>
  <c r="B90" i="29"/>
  <c r="Z90" i="29" s="1"/>
  <c r="A90" i="29"/>
  <c r="AF89" i="29"/>
  <c r="AE89" i="29"/>
  <c r="AD89" i="29"/>
  <c r="AC89" i="29"/>
  <c r="AB89" i="29"/>
  <c r="AA89" i="29"/>
  <c r="Z89" i="29"/>
  <c r="Y89" i="29"/>
  <c r="B89" i="29"/>
  <c r="A89" i="29"/>
  <c r="AE88" i="29"/>
  <c r="AC88" i="29"/>
  <c r="AB88" i="29"/>
  <c r="Z88" i="29"/>
  <c r="B88" i="29"/>
  <c r="A88" i="29"/>
  <c r="AC87" i="29"/>
  <c r="B87" i="29"/>
  <c r="A87" i="29"/>
  <c r="B86" i="29"/>
  <c r="A86" i="29"/>
  <c r="AF85" i="29"/>
  <c r="AE85" i="29"/>
  <c r="AD85" i="29"/>
  <c r="AC85" i="29"/>
  <c r="AA85" i="29"/>
  <c r="Z85" i="29"/>
  <c r="Y85" i="29"/>
  <c r="B85" i="29"/>
  <c r="AB85" i="29" s="1"/>
  <c r="A85" i="29"/>
  <c r="AF84" i="29"/>
  <c r="AE84" i="29"/>
  <c r="AD84" i="29"/>
  <c r="AC84" i="29"/>
  <c r="AB84" i="29"/>
  <c r="AA84" i="29"/>
  <c r="Y84" i="29"/>
  <c r="B84" i="29"/>
  <c r="Z84" i="29" s="1"/>
  <c r="A84" i="29"/>
  <c r="AF83" i="29"/>
  <c r="AE83" i="29"/>
  <c r="AD83" i="29"/>
  <c r="AC83" i="29"/>
  <c r="AB83" i="29"/>
  <c r="AA83" i="29"/>
  <c r="Z83" i="29"/>
  <c r="Y83" i="29"/>
  <c r="B83" i="29"/>
  <c r="A83" i="29"/>
  <c r="B82" i="29"/>
  <c r="A82" i="29"/>
  <c r="AE81" i="29"/>
  <c r="AC81" i="29"/>
  <c r="AA81" i="29"/>
  <c r="Z81" i="29"/>
  <c r="Y81" i="29"/>
  <c r="B81" i="29"/>
  <c r="A81" i="29"/>
  <c r="B80" i="29"/>
  <c r="A80" i="29"/>
  <c r="AF79" i="29"/>
  <c r="AE79" i="29"/>
  <c r="AD79" i="29"/>
  <c r="AC79" i="29"/>
  <c r="AA79" i="29"/>
  <c r="Z79" i="29"/>
  <c r="Y79" i="29"/>
  <c r="B79" i="29"/>
  <c r="AB79" i="29" s="1"/>
  <c r="A79" i="29"/>
  <c r="AF78" i="29"/>
  <c r="AE78" i="29"/>
  <c r="AD78" i="29"/>
  <c r="AC78" i="29"/>
  <c r="AB78" i="29"/>
  <c r="AA78" i="29"/>
  <c r="Y78" i="29"/>
  <c r="B78" i="29"/>
  <c r="Z78" i="29" s="1"/>
  <c r="A78" i="29"/>
  <c r="AE77" i="29"/>
  <c r="AD77" i="29"/>
  <c r="AC77" i="29"/>
  <c r="AB77" i="29"/>
  <c r="AA77" i="29"/>
  <c r="Z77" i="29"/>
  <c r="Y77" i="29"/>
  <c r="B77" i="29"/>
  <c r="AF77" i="29" s="1"/>
  <c r="A77" i="29"/>
  <c r="B76" i="29"/>
  <c r="A76" i="29"/>
  <c r="AC75" i="29"/>
  <c r="AA75" i="29"/>
  <c r="B75" i="29"/>
  <c r="AE75" i="29" s="1"/>
  <c r="A75" i="29"/>
  <c r="AC74" i="29"/>
  <c r="AA74" i="29"/>
  <c r="B74" i="29"/>
  <c r="A74" i="29"/>
  <c r="AF73" i="29"/>
  <c r="AE73" i="29"/>
  <c r="AD73" i="29"/>
  <c r="AC73" i="29"/>
  <c r="AA73" i="29"/>
  <c r="Z73" i="29"/>
  <c r="Y73" i="29"/>
  <c r="B73" i="29"/>
  <c r="AB73" i="29" s="1"/>
  <c r="A73" i="29"/>
  <c r="AE72" i="29"/>
  <c r="AD72" i="29"/>
  <c r="AC72" i="29"/>
  <c r="AA72" i="29"/>
  <c r="B72" i="29"/>
  <c r="Z72" i="29" s="1"/>
  <c r="A72" i="29"/>
  <c r="AE71" i="29"/>
  <c r="AD71" i="29"/>
  <c r="AC71" i="29"/>
  <c r="AB71" i="29"/>
  <c r="AA71" i="29"/>
  <c r="Z71" i="29"/>
  <c r="Y71" i="29"/>
  <c r="B71" i="29"/>
  <c r="AF71" i="29" s="1"/>
  <c r="A71" i="29"/>
  <c r="AA70" i="29"/>
  <c r="Z70" i="29"/>
  <c r="B70" i="29"/>
  <c r="A70" i="29"/>
  <c r="B69" i="29"/>
  <c r="A69" i="29"/>
  <c r="AF68" i="29"/>
  <c r="AC68" i="29"/>
  <c r="AB68" i="29"/>
  <c r="B68" i="29"/>
  <c r="AE68" i="29" s="1"/>
  <c r="A68" i="29"/>
  <c r="AF67" i="29"/>
  <c r="AE67" i="29"/>
  <c r="AD67" i="29"/>
  <c r="AC67" i="29"/>
  <c r="AA67" i="29"/>
  <c r="Z67" i="29"/>
  <c r="Y67" i="29"/>
  <c r="B67" i="29"/>
  <c r="AB67" i="29" s="1"/>
  <c r="A67" i="29"/>
  <c r="AA66" i="29"/>
  <c r="Y66" i="29"/>
  <c r="B66" i="29"/>
  <c r="A66" i="29"/>
  <c r="AE65" i="29"/>
  <c r="AD65" i="29"/>
  <c r="AC65" i="29"/>
  <c r="AB65" i="29"/>
  <c r="AA65" i="29"/>
  <c r="Z65" i="29"/>
  <c r="Y65" i="29"/>
  <c r="B65" i="29"/>
  <c r="AF65" i="29" s="1"/>
  <c r="A65" i="29"/>
  <c r="AF64" i="29"/>
  <c r="AE64" i="29"/>
  <c r="AB64" i="29"/>
  <c r="AA64" i="29"/>
  <c r="B64" i="29"/>
  <c r="AD64" i="29" s="1"/>
  <c r="A64" i="29"/>
  <c r="B63" i="29"/>
  <c r="A63" i="29"/>
  <c r="B62" i="29"/>
  <c r="A62" i="29"/>
  <c r="AF61" i="29"/>
  <c r="AE61" i="29"/>
  <c r="AD61" i="29"/>
  <c r="AC61" i="29"/>
  <c r="AA61" i="29"/>
  <c r="Z61" i="29"/>
  <c r="Y61" i="29"/>
  <c r="B61" i="29"/>
  <c r="AB61" i="29" s="1"/>
  <c r="A61" i="29"/>
  <c r="AE60" i="29"/>
  <c r="AD60" i="29"/>
  <c r="AC60" i="29"/>
  <c r="AA60" i="29"/>
  <c r="Y60" i="29"/>
  <c r="B60" i="29"/>
  <c r="Z60" i="29" s="1"/>
  <c r="A60" i="29"/>
  <c r="AE59" i="29"/>
  <c r="AD59" i="29"/>
  <c r="AC59" i="29"/>
  <c r="AB59" i="29"/>
  <c r="AA59" i="29"/>
  <c r="Z59" i="29"/>
  <c r="Y59" i="29"/>
  <c r="B59" i="29"/>
  <c r="AF59" i="29" s="1"/>
  <c r="A59" i="29"/>
  <c r="B58" i="29"/>
  <c r="A58" i="29"/>
  <c r="AE57" i="29"/>
  <c r="AC57" i="29"/>
  <c r="AA57" i="29"/>
  <c r="B57" i="29"/>
  <c r="AD57" i="29" s="1"/>
  <c r="A57" i="29"/>
  <c r="AB56" i="29"/>
  <c r="AA56" i="29"/>
  <c r="B56" i="29"/>
  <c r="A56" i="29"/>
  <c r="AF55" i="29"/>
  <c r="AE55" i="29"/>
  <c r="AD55" i="29"/>
  <c r="AC55" i="29"/>
  <c r="AA55" i="29"/>
  <c r="Z55" i="29"/>
  <c r="Y55" i="29"/>
  <c r="B55" i="29"/>
  <c r="AB55" i="29" s="1"/>
  <c r="A55" i="29"/>
  <c r="AE54" i="29"/>
  <c r="AD54" i="29"/>
  <c r="AC54" i="29"/>
  <c r="AA54" i="29"/>
  <c r="B54" i="29"/>
  <c r="Z54" i="29" s="1"/>
  <c r="A54" i="29"/>
  <c r="AF53" i="29"/>
  <c r="AE53" i="29"/>
  <c r="AD53" i="29"/>
  <c r="AC53" i="29"/>
  <c r="AB53" i="29"/>
  <c r="AA53" i="29"/>
  <c r="Z53" i="29"/>
  <c r="Y53" i="29"/>
  <c r="B53" i="29"/>
  <c r="A53" i="29"/>
  <c r="AE52" i="29"/>
  <c r="AD52" i="29"/>
  <c r="AC52" i="29"/>
  <c r="AB52" i="29"/>
  <c r="AA52" i="29"/>
  <c r="Z52" i="29"/>
  <c r="Y52" i="29"/>
  <c r="K17" i="29"/>
  <c r="J17" i="29"/>
  <c r="I17" i="29"/>
  <c r="H17" i="29"/>
  <c r="G17" i="29"/>
  <c r="F17" i="29"/>
  <c r="J16" i="29"/>
  <c r="I16" i="29"/>
  <c r="H16" i="29"/>
  <c r="G16" i="29"/>
  <c r="F16" i="29"/>
  <c r="K15" i="29"/>
  <c r="J15" i="29"/>
  <c r="I15" i="29"/>
  <c r="H15" i="29"/>
  <c r="G15" i="29"/>
  <c r="F15" i="29"/>
  <c r="J14" i="29"/>
  <c r="I14" i="29"/>
  <c r="H14" i="29"/>
  <c r="G14" i="29"/>
  <c r="F14" i="29"/>
  <c r="K13" i="29"/>
  <c r="J13" i="29"/>
  <c r="I13" i="29"/>
  <c r="H13" i="29"/>
  <c r="G13" i="29"/>
  <c r="F13" i="29"/>
  <c r="J12" i="29"/>
  <c r="I12" i="29"/>
  <c r="H12" i="29"/>
  <c r="G12" i="29"/>
  <c r="F12" i="29"/>
  <c r="K11" i="29"/>
  <c r="J11" i="29"/>
  <c r="I11" i="29"/>
  <c r="H11" i="29"/>
  <c r="G11" i="29"/>
  <c r="F11" i="29"/>
  <c r="E7" i="29"/>
  <c r="D7" i="29"/>
  <c r="C7" i="29"/>
  <c r="B7" i="29"/>
  <c r="A7" i="29"/>
  <c r="A5" i="29"/>
  <c r="J2" i="29"/>
  <c r="H2" i="29"/>
  <c r="F2" i="29"/>
  <c r="D2" i="29"/>
  <c r="B2" i="29"/>
  <c r="A1" i="29"/>
  <c r="W230" i="28"/>
  <c r="V230" i="28"/>
  <c r="U230" i="28"/>
  <c r="T230" i="28"/>
  <c r="R230" i="28"/>
  <c r="Q230" i="28"/>
  <c r="P230" i="28"/>
  <c r="B230" i="28"/>
  <c r="S230" i="28" s="1"/>
  <c r="A230" i="28"/>
  <c r="W229" i="28"/>
  <c r="V229" i="28"/>
  <c r="U229" i="28"/>
  <c r="T229" i="28"/>
  <c r="S229" i="28"/>
  <c r="R229" i="28"/>
  <c r="P229" i="28"/>
  <c r="B229" i="28"/>
  <c r="Q229" i="28" s="1"/>
  <c r="A229" i="28"/>
  <c r="W228" i="28"/>
  <c r="V228" i="28"/>
  <c r="U228" i="28"/>
  <c r="T228" i="28"/>
  <c r="S228" i="28"/>
  <c r="R228" i="28"/>
  <c r="Q228" i="28"/>
  <c r="P228" i="28"/>
  <c r="B228" i="28"/>
  <c r="A228" i="28"/>
  <c r="V227" i="28"/>
  <c r="Q227" i="28"/>
  <c r="B227" i="28"/>
  <c r="A227" i="28"/>
  <c r="V226" i="28"/>
  <c r="U226" i="28"/>
  <c r="T226" i="28"/>
  <c r="Q226" i="28"/>
  <c r="B226" i="28"/>
  <c r="A226" i="28"/>
  <c r="W225" i="28"/>
  <c r="V225" i="28"/>
  <c r="T225" i="28"/>
  <c r="R225" i="28"/>
  <c r="P225" i="28"/>
  <c r="B225" i="28"/>
  <c r="S225" i="28" s="1"/>
  <c r="A225" i="28"/>
  <c r="W224" i="28"/>
  <c r="V224" i="28"/>
  <c r="U224" i="28"/>
  <c r="T224" i="28"/>
  <c r="R224" i="28"/>
  <c r="Q224" i="28"/>
  <c r="P224" i="28"/>
  <c r="B224" i="28"/>
  <c r="S224" i="28" s="1"/>
  <c r="A224" i="28"/>
  <c r="W223" i="28"/>
  <c r="B223" i="28"/>
  <c r="A223" i="28"/>
  <c r="W222" i="28"/>
  <c r="V222" i="28"/>
  <c r="U222" i="28"/>
  <c r="T222" i="28"/>
  <c r="S222" i="28"/>
  <c r="R222" i="28"/>
  <c r="Q222" i="28"/>
  <c r="P222" i="28"/>
  <c r="B222" i="28"/>
  <c r="A222" i="28"/>
  <c r="W221" i="28"/>
  <c r="V221" i="28"/>
  <c r="T221" i="28"/>
  <c r="S221" i="28"/>
  <c r="R221" i="28"/>
  <c r="Q221" i="28"/>
  <c r="P221" i="28"/>
  <c r="B221" i="28"/>
  <c r="U221" i="28" s="1"/>
  <c r="A221" i="28"/>
  <c r="R220" i="28"/>
  <c r="Q220" i="28"/>
  <c r="P220" i="28"/>
  <c r="B220" i="28"/>
  <c r="A220" i="28"/>
  <c r="W219" i="28"/>
  <c r="V219" i="28"/>
  <c r="T219" i="28"/>
  <c r="S219" i="28"/>
  <c r="R219" i="28"/>
  <c r="P219" i="28"/>
  <c r="B219" i="28"/>
  <c r="A219" i="28"/>
  <c r="W218" i="28"/>
  <c r="V218" i="28"/>
  <c r="U218" i="28"/>
  <c r="T218" i="28"/>
  <c r="R218" i="28"/>
  <c r="Q218" i="28"/>
  <c r="P218" i="28"/>
  <c r="B218" i="28"/>
  <c r="S218" i="28" s="1"/>
  <c r="A218" i="28"/>
  <c r="U217" i="28"/>
  <c r="T217" i="28"/>
  <c r="P217" i="28"/>
  <c r="B217" i="28"/>
  <c r="A217" i="28"/>
  <c r="W216" i="28"/>
  <c r="V216" i="28"/>
  <c r="U216" i="28"/>
  <c r="T216" i="28"/>
  <c r="S216" i="28"/>
  <c r="R216" i="28"/>
  <c r="Q216" i="28"/>
  <c r="P216" i="28"/>
  <c r="B216" i="28"/>
  <c r="A216" i="28"/>
  <c r="B215" i="28"/>
  <c r="A215" i="28"/>
  <c r="V214" i="28"/>
  <c r="T214" i="28"/>
  <c r="R214" i="28"/>
  <c r="B214" i="28"/>
  <c r="A214" i="28"/>
  <c r="T213" i="28"/>
  <c r="R213" i="28"/>
  <c r="B213" i="28"/>
  <c r="A213" i="28"/>
  <c r="W212" i="28"/>
  <c r="V212" i="28"/>
  <c r="U212" i="28"/>
  <c r="T212" i="28"/>
  <c r="R212" i="28"/>
  <c r="Q212" i="28"/>
  <c r="P212" i="28"/>
  <c r="B212" i="28"/>
  <c r="S212" i="28" s="1"/>
  <c r="A212" i="28"/>
  <c r="V211" i="28"/>
  <c r="U211" i="28"/>
  <c r="T211" i="28"/>
  <c r="R211" i="28"/>
  <c r="B211" i="28"/>
  <c r="Q211" i="28" s="1"/>
  <c r="A211" i="28"/>
  <c r="W210" i="28"/>
  <c r="V210" i="28"/>
  <c r="U210" i="28"/>
  <c r="T210" i="28"/>
  <c r="S210" i="28"/>
  <c r="R210" i="28"/>
  <c r="Q210" i="28"/>
  <c r="P210" i="28"/>
  <c r="B210" i="28"/>
  <c r="A210" i="28"/>
  <c r="T209" i="28"/>
  <c r="S209" i="28"/>
  <c r="R209" i="28"/>
  <c r="P209" i="28"/>
  <c r="B209" i="28"/>
  <c r="A209" i="28"/>
  <c r="U208" i="28"/>
  <c r="B208" i="28"/>
  <c r="A208" i="28"/>
  <c r="V207" i="28"/>
  <c r="T207" i="28"/>
  <c r="S207" i="28"/>
  <c r="Q207" i="28"/>
  <c r="B207" i="28"/>
  <c r="U207" i="28" s="1"/>
  <c r="A207" i="28"/>
  <c r="W206" i="28"/>
  <c r="V206" i="28"/>
  <c r="U206" i="28"/>
  <c r="R206" i="28"/>
  <c r="B206" i="28"/>
  <c r="A206" i="28"/>
  <c r="U205" i="28"/>
  <c r="T205" i="28"/>
  <c r="S205" i="28"/>
  <c r="Q205" i="28"/>
  <c r="P205" i="28"/>
  <c r="B205" i="28"/>
  <c r="W205" i="28" s="1"/>
  <c r="A205" i="28"/>
  <c r="W204" i="28"/>
  <c r="R204" i="28"/>
  <c r="Q204" i="28"/>
  <c r="B204" i="28"/>
  <c r="A204" i="28"/>
  <c r="U203" i="28"/>
  <c r="Q203" i="28"/>
  <c r="B203" i="28"/>
  <c r="A203" i="28"/>
  <c r="W202" i="28"/>
  <c r="V202" i="28"/>
  <c r="B202" i="28"/>
  <c r="A202" i="28"/>
  <c r="W201" i="28"/>
  <c r="U201" i="28"/>
  <c r="T201" i="28"/>
  <c r="S201" i="28"/>
  <c r="Q201" i="28"/>
  <c r="B201" i="28"/>
  <c r="R201" i="28" s="1"/>
  <c r="A201" i="28"/>
  <c r="W200" i="28"/>
  <c r="V200" i="28"/>
  <c r="S200" i="28"/>
  <c r="R200" i="28"/>
  <c r="B200" i="28"/>
  <c r="A200" i="28"/>
  <c r="U199" i="28"/>
  <c r="T199" i="28"/>
  <c r="S199" i="28"/>
  <c r="Q199" i="28"/>
  <c r="P199" i="28"/>
  <c r="B199" i="28"/>
  <c r="W199" i="28" s="1"/>
  <c r="A199" i="28"/>
  <c r="S198" i="28"/>
  <c r="B198" i="28"/>
  <c r="A198" i="28"/>
  <c r="U197" i="28"/>
  <c r="Q197" i="28"/>
  <c r="P197" i="28"/>
  <c r="B197" i="28"/>
  <c r="A197" i="28"/>
  <c r="W196" i="28"/>
  <c r="S196" i="28"/>
  <c r="B196" i="28"/>
  <c r="A196" i="28"/>
  <c r="W195" i="28"/>
  <c r="V195" i="28"/>
  <c r="U195" i="28"/>
  <c r="T195" i="28"/>
  <c r="S195" i="28"/>
  <c r="Q195" i="28"/>
  <c r="B195" i="28"/>
  <c r="R195" i="28" s="1"/>
  <c r="A195" i="28"/>
  <c r="R194" i="28"/>
  <c r="B194" i="28"/>
  <c r="A194" i="28"/>
  <c r="U193" i="28"/>
  <c r="T193" i="28"/>
  <c r="S193" i="28"/>
  <c r="R193" i="28"/>
  <c r="Q193" i="28"/>
  <c r="P193" i="28"/>
  <c r="B193" i="28"/>
  <c r="W193" i="28" s="1"/>
  <c r="A193" i="28"/>
  <c r="S192" i="28"/>
  <c r="R192" i="28"/>
  <c r="Q192" i="28"/>
  <c r="P192" i="28"/>
  <c r="B192" i="28"/>
  <c r="A192" i="28"/>
  <c r="U191" i="28"/>
  <c r="P191" i="28"/>
  <c r="B191" i="28"/>
  <c r="A191" i="28"/>
  <c r="V190" i="28"/>
  <c r="U190" i="28"/>
  <c r="T190" i="28"/>
  <c r="S190" i="28"/>
  <c r="R190" i="28"/>
  <c r="Q190" i="28"/>
  <c r="P190" i="28"/>
  <c r="AE184" i="28"/>
  <c r="AD184" i="28"/>
  <c r="AC184" i="28"/>
  <c r="AB184" i="28"/>
  <c r="AA184" i="28"/>
  <c r="Z184" i="28"/>
  <c r="Y184" i="28"/>
  <c r="B184" i="28"/>
  <c r="AF184" i="28" s="1"/>
  <c r="A184" i="28"/>
  <c r="AC183" i="28"/>
  <c r="AA183" i="28"/>
  <c r="Z183" i="28"/>
  <c r="B183" i="28"/>
  <c r="AB183" i="28" s="1"/>
  <c r="A183" i="28"/>
  <c r="B182" i="28"/>
  <c r="A182" i="28"/>
  <c r="AF181" i="28"/>
  <c r="AC181" i="28"/>
  <c r="Y181" i="28"/>
  <c r="B181" i="28"/>
  <c r="A181" i="28"/>
  <c r="AF180" i="28"/>
  <c r="AE180" i="28"/>
  <c r="AD180" i="28"/>
  <c r="AC180" i="28"/>
  <c r="AB180" i="28"/>
  <c r="AA180" i="28"/>
  <c r="Z180" i="28"/>
  <c r="Y180" i="28"/>
  <c r="B180" i="28"/>
  <c r="A180" i="28"/>
  <c r="AF179" i="28"/>
  <c r="AE179" i="28"/>
  <c r="AD179" i="28"/>
  <c r="AC179" i="28"/>
  <c r="AB179" i="28"/>
  <c r="AA179" i="28"/>
  <c r="Z179" i="28"/>
  <c r="Y179" i="28"/>
  <c r="B179" i="28"/>
  <c r="A179" i="28"/>
  <c r="AE178" i="28"/>
  <c r="AD178" i="28"/>
  <c r="AC178" i="28"/>
  <c r="AB178" i="28"/>
  <c r="AA178" i="28"/>
  <c r="Z178" i="28"/>
  <c r="Y178" i="28"/>
  <c r="B178" i="28"/>
  <c r="AF178" i="28" s="1"/>
  <c r="A178" i="28"/>
  <c r="AC177" i="28"/>
  <c r="AB177" i="28"/>
  <c r="AA177" i="28"/>
  <c r="Z177" i="28"/>
  <c r="Y177" i="28"/>
  <c r="B177" i="28"/>
  <c r="A177" i="28"/>
  <c r="Y176" i="28"/>
  <c r="B176" i="28"/>
  <c r="A176" i="28"/>
  <c r="B175" i="28"/>
  <c r="A175" i="28"/>
  <c r="AF174" i="28"/>
  <c r="AE174" i="28"/>
  <c r="AD174" i="28"/>
  <c r="AC174" i="28"/>
  <c r="AB174" i="28"/>
  <c r="AA174" i="28"/>
  <c r="Z174" i="28"/>
  <c r="Y174" i="28"/>
  <c r="B174" i="28"/>
  <c r="A174" i="28"/>
  <c r="AF173" i="28"/>
  <c r="AE173" i="28"/>
  <c r="AD173" i="28"/>
  <c r="AC173" i="28"/>
  <c r="AB173" i="28"/>
  <c r="AA173" i="28"/>
  <c r="Z173" i="28"/>
  <c r="Y173" i="28"/>
  <c r="B173" i="28"/>
  <c r="A173" i="28"/>
  <c r="AE172" i="28"/>
  <c r="AD172" i="28"/>
  <c r="AC172" i="28"/>
  <c r="AB172" i="28"/>
  <c r="AA172" i="28"/>
  <c r="Z172" i="28"/>
  <c r="Y172" i="28"/>
  <c r="B172" i="28"/>
  <c r="AF172" i="28" s="1"/>
  <c r="A172" i="28"/>
  <c r="Y171" i="28"/>
  <c r="B171" i="28"/>
  <c r="A171" i="28"/>
  <c r="AE170" i="28"/>
  <c r="B170" i="28"/>
  <c r="A170" i="28"/>
  <c r="B169" i="28"/>
  <c r="A169" i="28"/>
  <c r="AF168" i="28"/>
  <c r="AE168" i="28"/>
  <c r="AD168" i="28"/>
  <c r="AC168" i="28"/>
  <c r="AB168" i="28"/>
  <c r="AA168" i="28"/>
  <c r="Z168" i="28"/>
  <c r="Y168" i="28"/>
  <c r="B168" i="28"/>
  <c r="A168" i="28"/>
  <c r="AF167" i="28"/>
  <c r="AE167" i="28"/>
  <c r="AD167" i="28"/>
  <c r="AC167" i="28"/>
  <c r="AB167" i="28"/>
  <c r="AA167" i="28"/>
  <c r="Z167" i="28"/>
  <c r="Y167" i="28"/>
  <c r="B167" i="28"/>
  <c r="A167" i="28"/>
  <c r="AE166" i="28"/>
  <c r="AD166" i="28"/>
  <c r="AC166" i="28"/>
  <c r="AB166" i="28"/>
  <c r="AA166" i="28"/>
  <c r="Z166" i="28"/>
  <c r="Y166" i="28"/>
  <c r="B166" i="28"/>
  <c r="AF166" i="28" s="1"/>
  <c r="A166" i="28"/>
  <c r="B165" i="28"/>
  <c r="A165" i="28"/>
  <c r="AA164" i="28"/>
  <c r="B164" i="28"/>
  <c r="A164" i="28"/>
  <c r="AC163" i="28"/>
  <c r="B163" i="28"/>
  <c r="A163" i="28"/>
  <c r="AF162" i="28"/>
  <c r="AE162" i="28"/>
  <c r="AD162" i="28"/>
  <c r="AC162" i="28"/>
  <c r="AB162" i="28"/>
  <c r="AA162" i="28"/>
  <c r="Z162" i="28"/>
  <c r="Y162" i="28"/>
  <c r="B162" i="28"/>
  <c r="A162" i="28"/>
  <c r="AF161" i="28"/>
  <c r="AE161" i="28"/>
  <c r="AD161" i="28"/>
  <c r="AC161" i="28"/>
  <c r="AB161" i="28"/>
  <c r="AA161" i="28"/>
  <c r="Z161" i="28"/>
  <c r="Y161" i="28"/>
  <c r="B161" i="28"/>
  <c r="A161" i="28"/>
  <c r="AE160" i="28"/>
  <c r="AD160" i="28"/>
  <c r="AC160" i="28"/>
  <c r="AB160" i="28"/>
  <c r="AA160" i="28"/>
  <c r="Z160" i="28"/>
  <c r="Y160" i="28"/>
  <c r="B160" i="28"/>
  <c r="AF160" i="28" s="1"/>
  <c r="A160" i="28"/>
  <c r="Z159" i="28"/>
  <c r="Y159" i="28"/>
  <c r="B159" i="28"/>
  <c r="A159" i="28"/>
  <c r="AA158" i="28"/>
  <c r="B158" i="28"/>
  <c r="A158" i="28"/>
  <c r="B157" i="28"/>
  <c r="A157" i="28"/>
  <c r="AF156" i="28"/>
  <c r="AE156" i="28"/>
  <c r="AD156" i="28"/>
  <c r="AC156" i="28"/>
  <c r="AB156" i="28"/>
  <c r="AA156" i="28"/>
  <c r="Z156" i="28"/>
  <c r="Y156" i="28"/>
  <c r="B156" i="28"/>
  <c r="A156" i="28"/>
  <c r="AF155" i="28"/>
  <c r="AE155" i="28"/>
  <c r="AD155" i="28"/>
  <c r="AC155" i="28"/>
  <c r="AB155" i="28"/>
  <c r="AA155" i="28"/>
  <c r="Z155" i="28"/>
  <c r="Y155" i="28"/>
  <c r="B155" i="28"/>
  <c r="A155" i="28"/>
  <c r="AE154" i="28"/>
  <c r="AD154" i="28"/>
  <c r="AC154" i="28"/>
  <c r="AB154" i="28"/>
  <c r="AA154" i="28"/>
  <c r="Z154" i="28"/>
  <c r="Y154" i="28"/>
  <c r="B154" i="28"/>
  <c r="AF154" i="28" s="1"/>
  <c r="A154" i="28"/>
  <c r="B153" i="28"/>
  <c r="A153" i="28"/>
  <c r="AA152" i="28"/>
  <c r="B152" i="28"/>
  <c r="A152" i="28"/>
  <c r="AF151" i="28"/>
  <c r="AE151" i="28"/>
  <c r="AC151" i="28"/>
  <c r="Y151" i="28"/>
  <c r="B151" i="28"/>
  <c r="A151" i="28"/>
  <c r="AF150" i="28"/>
  <c r="AE150" i="28"/>
  <c r="AD150" i="28"/>
  <c r="AC150" i="28"/>
  <c r="AB150" i="28"/>
  <c r="AA150" i="28"/>
  <c r="Z150" i="28"/>
  <c r="Y150" i="28"/>
  <c r="B150" i="28"/>
  <c r="A150" i="28"/>
  <c r="AF149" i="28"/>
  <c r="AE149" i="28"/>
  <c r="AD149" i="28"/>
  <c r="AC149" i="28"/>
  <c r="AB149" i="28"/>
  <c r="AA149" i="28"/>
  <c r="Z149" i="28"/>
  <c r="Y149" i="28"/>
  <c r="B149" i="28"/>
  <c r="A149" i="28"/>
  <c r="AE148" i="28"/>
  <c r="AD148" i="28"/>
  <c r="AC148" i="28"/>
  <c r="AB148" i="28"/>
  <c r="AA148" i="28"/>
  <c r="Z148" i="28"/>
  <c r="Y148" i="28"/>
  <c r="B148" i="28"/>
  <c r="AF148" i="28" s="1"/>
  <c r="A148" i="28"/>
  <c r="AC147" i="28"/>
  <c r="AB147" i="28"/>
  <c r="AA147" i="28"/>
  <c r="Z147" i="28"/>
  <c r="Y147" i="28"/>
  <c r="B147" i="28"/>
  <c r="A147" i="28"/>
  <c r="AA146" i="28"/>
  <c r="B146" i="28"/>
  <c r="A146" i="28"/>
  <c r="AF145" i="28"/>
  <c r="AE145" i="28"/>
  <c r="B145" i="28"/>
  <c r="A145" i="28"/>
  <c r="AE144" i="28"/>
  <c r="AD144" i="28"/>
  <c r="AC144" i="28"/>
  <c r="AB144" i="28"/>
  <c r="AA144" i="28"/>
  <c r="Z144" i="28"/>
  <c r="Y144" i="28"/>
  <c r="X138" i="28"/>
  <c r="W138" i="28"/>
  <c r="V138" i="28"/>
  <c r="U138" i="28"/>
  <c r="T138" i="28"/>
  <c r="B138" i="28"/>
  <c r="A138" i="28"/>
  <c r="B137" i="28"/>
  <c r="A137" i="28"/>
  <c r="Z136" i="28"/>
  <c r="X136" i="28"/>
  <c r="S136" i="28"/>
  <c r="B136" i="28"/>
  <c r="A136" i="28"/>
  <c r="V135" i="28"/>
  <c r="B135" i="28"/>
  <c r="A135" i="28"/>
  <c r="Z134" i="28"/>
  <c r="Y134" i="28"/>
  <c r="X134" i="28"/>
  <c r="W134" i="28"/>
  <c r="V134" i="28"/>
  <c r="T134" i="28"/>
  <c r="B134" i="28"/>
  <c r="U134" i="28" s="1"/>
  <c r="A134" i="28"/>
  <c r="B133" i="28"/>
  <c r="A133" i="28"/>
  <c r="V132" i="28"/>
  <c r="U132" i="28"/>
  <c r="T132" i="28"/>
  <c r="S132" i="28"/>
  <c r="B132" i="28"/>
  <c r="A132" i="28"/>
  <c r="Z131" i="28"/>
  <c r="U131" i="28"/>
  <c r="T131" i="28"/>
  <c r="B131" i="28"/>
  <c r="A131" i="28"/>
  <c r="Z130" i="28"/>
  <c r="X130" i="28"/>
  <c r="T130" i="28"/>
  <c r="S130" i="28"/>
  <c r="B130" i="28"/>
  <c r="A130" i="28"/>
  <c r="Y129" i="28"/>
  <c r="X129" i="28"/>
  <c r="B129" i="28"/>
  <c r="A129" i="28"/>
  <c r="Z128" i="28"/>
  <c r="Y128" i="28"/>
  <c r="X128" i="28"/>
  <c r="W128" i="28"/>
  <c r="V128" i="28"/>
  <c r="T128" i="28"/>
  <c r="B128" i="28"/>
  <c r="U128" i="28" s="1"/>
  <c r="A128" i="28"/>
  <c r="T127" i="28"/>
  <c r="B127" i="28"/>
  <c r="A127" i="28"/>
  <c r="B126" i="28"/>
  <c r="A126" i="28"/>
  <c r="Z125" i="28"/>
  <c r="V125" i="28"/>
  <c r="U125" i="28"/>
  <c r="T125" i="28"/>
  <c r="S125" i="28"/>
  <c r="B125" i="28"/>
  <c r="A125" i="28"/>
  <c r="S124" i="28"/>
  <c r="B124" i="28"/>
  <c r="A124" i="28"/>
  <c r="Z123" i="28"/>
  <c r="Y123" i="28"/>
  <c r="X123" i="28"/>
  <c r="V123" i="28"/>
  <c r="B123" i="28"/>
  <c r="A123" i="28"/>
  <c r="Z122" i="28"/>
  <c r="Y122" i="28"/>
  <c r="X122" i="28"/>
  <c r="W122" i="28"/>
  <c r="V122" i="28"/>
  <c r="T122" i="28"/>
  <c r="B122" i="28"/>
  <c r="U122" i="28" s="1"/>
  <c r="A122" i="28"/>
  <c r="W121" i="28"/>
  <c r="B121" i="28"/>
  <c r="A121" i="28"/>
  <c r="X120" i="28"/>
  <c r="W120" i="28"/>
  <c r="V120" i="28"/>
  <c r="U120" i="28"/>
  <c r="T120" i="28"/>
  <c r="B120" i="28"/>
  <c r="A120" i="28"/>
  <c r="S119" i="28"/>
  <c r="B119" i="28"/>
  <c r="A119" i="28"/>
  <c r="Z118" i="28"/>
  <c r="X118" i="28"/>
  <c r="S118" i="28"/>
  <c r="B118" i="28"/>
  <c r="A118" i="28"/>
  <c r="Y117" i="28"/>
  <c r="X117" i="28"/>
  <c r="V117" i="28"/>
  <c r="B117" i="28"/>
  <c r="A117" i="28"/>
  <c r="Z116" i="28"/>
  <c r="Y116" i="28"/>
  <c r="X116" i="28"/>
  <c r="W116" i="28"/>
  <c r="V116" i="28"/>
  <c r="T116" i="28"/>
  <c r="B116" i="28"/>
  <c r="U116" i="28" s="1"/>
  <c r="A116" i="28"/>
  <c r="B115" i="28"/>
  <c r="A115" i="28"/>
  <c r="W114" i="28"/>
  <c r="V114" i="28"/>
  <c r="U114" i="28"/>
  <c r="T114" i="28"/>
  <c r="S114" i="28"/>
  <c r="B114" i="28"/>
  <c r="A114" i="28"/>
  <c r="B113" i="28"/>
  <c r="A113" i="28"/>
  <c r="Z112" i="28"/>
  <c r="X112" i="28"/>
  <c r="B112" i="28"/>
  <c r="A112" i="28"/>
  <c r="T111" i="28"/>
  <c r="B111" i="28"/>
  <c r="A111" i="28"/>
  <c r="Z110" i="28"/>
  <c r="Y110" i="28"/>
  <c r="W110" i="28"/>
  <c r="V110" i="28"/>
  <c r="B110" i="28"/>
  <c r="A110" i="28"/>
  <c r="B109" i="28"/>
  <c r="A109" i="28"/>
  <c r="W108" i="28"/>
  <c r="V108" i="28"/>
  <c r="U108" i="28"/>
  <c r="T108" i="28"/>
  <c r="S108" i="28"/>
  <c r="B108" i="28"/>
  <c r="A108" i="28"/>
  <c r="B107" i="28"/>
  <c r="A107" i="28"/>
  <c r="B106" i="28"/>
  <c r="A106" i="28"/>
  <c r="B105" i="28"/>
  <c r="A105" i="28"/>
  <c r="Z104" i="28"/>
  <c r="Y104" i="28"/>
  <c r="B104" i="28"/>
  <c r="A104" i="28"/>
  <c r="B103" i="28"/>
  <c r="A103" i="28"/>
  <c r="X102" i="28"/>
  <c r="W102" i="28"/>
  <c r="V102" i="28"/>
  <c r="U102" i="28"/>
  <c r="T102" i="28"/>
  <c r="S102" i="28"/>
  <c r="B102" i="28"/>
  <c r="A102" i="28"/>
  <c r="S101" i="28"/>
  <c r="B101" i="28"/>
  <c r="A101" i="28"/>
  <c r="Z100" i="28"/>
  <c r="X100" i="28"/>
  <c r="V100" i="28"/>
  <c r="T100" i="28"/>
  <c r="B100" i="28"/>
  <c r="A100" i="28"/>
  <c r="T99" i="28"/>
  <c r="B99" i="28"/>
  <c r="A99" i="28"/>
  <c r="Y98" i="28"/>
  <c r="X98" i="28"/>
  <c r="W98" i="28"/>
  <c r="V98" i="28"/>
  <c r="U98" i="28"/>
  <c r="T98" i="28"/>
  <c r="S98" i="28"/>
  <c r="AB92" i="28"/>
  <c r="AA92" i="28"/>
  <c r="Z92" i="28"/>
  <c r="Y92" i="28"/>
  <c r="B92" i="28"/>
  <c r="A92" i="28"/>
  <c r="B91" i="28"/>
  <c r="A91" i="28"/>
  <c r="B90" i="28"/>
  <c r="A90" i="28"/>
  <c r="AF89" i="28"/>
  <c r="AE89" i="28"/>
  <c r="AD89" i="28"/>
  <c r="AC89" i="28"/>
  <c r="AB89" i="28"/>
  <c r="AA89" i="28"/>
  <c r="Z89" i="28"/>
  <c r="Y89" i="28"/>
  <c r="B89" i="28"/>
  <c r="A89" i="28"/>
  <c r="AF88" i="28"/>
  <c r="AE88" i="28"/>
  <c r="AD88" i="28"/>
  <c r="AC88" i="28"/>
  <c r="AB88" i="28"/>
  <c r="AA88" i="28"/>
  <c r="Z88" i="28"/>
  <c r="Y88" i="28"/>
  <c r="B88" i="28"/>
  <c r="A88" i="28"/>
  <c r="AE87" i="28"/>
  <c r="AD87" i="28"/>
  <c r="AC87" i="28"/>
  <c r="AB87" i="28"/>
  <c r="AA87" i="28"/>
  <c r="Z87" i="28"/>
  <c r="Y87" i="28"/>
  <c r="B87" i="28"/>
  <c r="AF87" i="28" s="1"/>
  <c r="A87" i="28"/>
  <c r="AE86" i="28"/>
  <c r="AC86" i="28"/>
  <c r="AB86" i="28"/>
  <c r="AA86" i="28"/>
  <c r="Y86" i="28"/>
  <c r="B86" i="28"/>
  <c r="A86" i="28"/>
  <c r="AE85" i="28"/>
  <c r="Y85" i="28"/>
  <c r="B85" i="28"/>
  <c r="A85" i="28"/>
  <c r="AF84" i="28"/>
  <c r="B84" i="28"/>
  <c r="A84" i="28"/>
  <c r="AF83" i="28"/>
  <c r="AE83" i="28"/>
  <c r="AD83" i="28"/>
  <c r="AC83" i="28"/>
  <c r="AB83" i="28"/>
  <c r="AA83" i="28"/>
  <c r="Z83" i="28"/>
  <c r="Y83" i="28"/>
  <c r="B83" i="28"/>
  <c r="A83" i="28"/>
  <c r="AF82" i="28"/>
  <c r="AE82" i="28"/>
  <c r="AD82" i="28"/>
  <c r="AC82" i="28"/>
  <c r="AB82" i="28"/>
  <c r="AA82" i="28"/>
  <c r="Z82" i="28"/>
  <c r="Y82" i="28"/>
  <c r="B82" i="28"/>
  <c r="A82" i="28"/>
  <c r="AE81" i="28"/>
  <c r="AD81" i="28"/>
  <c r="AC81" i="28"/>
  <c r="AB81" i="28"/>
  <c r="AA81" i="28"/>
  <c r="Z81" i="28"/>
  <c r="Y81" i="28"/>
  <c r="B81" i="28"/>
  <c r="AF81" i="28" s="1"/>
  <c r="A81" i="28"/>
  <c r="B80" i="28"/>
  <c r="A80" i="28"/>
  <c r="AE79" i="28"/>
  <c r="AC79" i="28"/>
  <c r="AA79" i="28"/>
  <c r="Z79" i="28"/>
  <c r="Y79" i="28"/>
  <c r="B79" i="28"/>
  <c r="A79" i="28"/>
  <c r="B78" i="28"/>
  <c r="A78" i="28"/>
  <c r="AF77" i="28"/>
  <c r="AE77" i="28"/>
  <c r="AD77" i="28"/>
  <c r="AC77" i="28"/>
  <c r="AB77" i="28"/>
  <c r="AA77" i="28"/>
  <c r="Y77" i="28"/>
  <c r="B77" i="28"/>
  <c r="Z77" i="28" s="1"/>
  <c r="A77" i="28"/>
  <c r="AF76" i="28"/>
  <c r="AE76" i="28"/>
  <c r="AD76" i="28"/>
  <c r="AC76" i="28"/>
  <c r="AB76" i="28"/>
  <c r="AA76" i="28"/>
  <c r="Z76" i="28"/>
  <c r="Y76" i="28"/>
  <c r="B76" i="28"/>
  <c r="A76" i="28"/>
  <c r="AE75" i="28"/>
  <c r="AD75" i="28"/>
  <c r="AC75" i="28"/>
  <c r="AB75" i="28"/>
  <c r="AA75" i="28"/>
  <c r="Z75" i="28"/>
  <c r="Y75" i="28"/>
  <c r="B75" i="28"/>
  <c r="AF75" i="28" s="1"/>
  <c r="A75" i="28"/>
  <c r="Y74" i="28"/>
  <c r="B74" i="28"/>
  <c r="A74" i="28"/>
  <c r="AE73" i="28"/>
  <c r="AC73" i="28"/>
  <c r="AA73" i="28"/>
  <c r="Y73" i="28"/>
  <c r="B73" i="28"/>
  <c r="A73" i="28"/>
  <c r="B72" i="28"/>
  <c r="A72" i="28"/>
  <c r="AF71" i="28"/>
  <c r="AE71" i="28"/>
  <c r="AD71" i="28"/>
  <c r="AC71" i="28"/>
  <c r="AB71" i="28"/>
  <c r="AA71" i="28"/>
  <c r="Y71" i="28"/>
  <c r="B71" i="28"/>
  <c r="Z71" i="28" s="1"/>
  <c r="A71" i="28"/>
  <c r="AF70" i="28"/>
  <c r="AE70" i="28"/>
  <c r="AD70" i="28"/>
  <c r="AC70" i="28"/>
  <c r="AB70" i="28"/>
  <c r="AA70" i="28"/>
  <c r="Z70" i="28"/>
  <c r="Y70" i="28"/>
  <c r="B70" i="28"/>
  <c r="A70" i="28"/>
  <c r="AE69" i="28"/>
  <c r="AD69" i="28"/>
  <c r="AC69" i="28"/>
  <c r="AB69" i="28"/>
  <c r="AA69" i="28"/>
  <c r="Z69" i="28"/>
  <c r="Y69" i="28"/>
  <c r="B69" i="28"/>
  <c r="AF69" i="28" s="1"/>
  <c r="A69" i="28"/>
  <c r="AC68" i="28"/>
  <c r="Y68" i="28"/>
  <c r="B68" i="28"/>
  <c r="A68" i="28"/>
  <c r="B67" i="28"/>
  <c r="A67" i="28"/>
  <c r="AF66" i="28"/>
  <c r="AE66" i="28"/>
  <c r="B66" i="28"/>
  <c r="A66" i="28"/>
  <c r="AF65" i="28"/>
  <c r="AE65" i="28"/>
  <c r="AD65" i="28"/>
  <c r="AC65" i="28"/>
  <c r="AB65" i="28"/>
  <c r="AA65" i="28"/>
  <c r="Y65" i="28"/>
  <c r="B65" i="28"/>
  <c r="Z65" i="28" s="1"/>
  <c r="A65" i="28"/>
  <c r="AF64" i="28"/>
  <c r="AE64" i="28"/>
  <c r="AD64" i="28"/>
  <c r="AC64" i="28"/>
  <c r="AB64" i="28"/>
  <c r="AA64" i="28"/>
  <c r="Z64" i="28"/>
  <c r="Y64" i="28"/>
  <c r="B64" i="28"/>
  <c r="A64" i="28"/>
  <c r="AE63" i="28"/>
  <c r="AD63" i="28"/>
  <c r="AC63" i="28"/>
  <c r="AB63" i="28"/>
  <c r="AA63" i="28"/>
  <c r="Z63" i="28"/>
  <c r="Y63" i="28"/>
  <c r="B63" i="28"/>
  <c r="AF63" i="28" s="1"/>
  <c r="A63" i="28"/>
  <c r="AE62" i="28"/>
  <c r="AC62" i="28"/>
  <c r="AB62" i="28"/>
  <c r="B62" i="28"/>
  <c r="A62" i="28"/>
  <c r="AA61" i="28"/>
  <c r="B61" i="28"/>
  <c r="A61" i="28"/>
  <c r="AF60" i="28"/>
  <c r="AE60" i="28"/>
  <c r="AD60" i="28"/>
  <c r="AA60" i="28"/>
  <c r="Y60" i="28"/>
  <c r="B60" i="28"/>
  <c r="A60" i="28"/>
  <c r="AF59" i="28"/>
  <c r="AE59" i="28"/>
  <c r="AD59" i="28"/>
  <c r="AC59" i="28"/>
  <c r="AB59" i="28"/>
  <c r="AA59" i="28"/>
  <c r="Y59" i="28"/>
  <c r="B59" i="28"/>
  <c r="Z59" i="28" s="1"/>
  <c r="A59" i="28"/>
  <c r="AF58" i="28"/>
  <c r="AE58" i="28"/>
  <c r="AD58" i="28"/>
  <c r="AC58" i="28"/>
  <c r="AB58" i="28"/>
  <c r="AA58" i="28"/>
  <c r="Z58" i="28"/>
  <c r="Y58" i="28"/>
  <c r="B58" i="28"/>
  <c r="A58" i="28"/>
  <c r="B57" i="28"/>
  <c r="A57" i="28"/>
  <c r="AE56" i="28"/>
  <c r="AC56" i="28"/>
  <c r="AB56" i="28"/>
  <c r="Z56" i="28"/>
  <c r="Y56" i="28"/>
  <c r="B56" i="28"/>
  <c r="A56" i="28"/>
  <c r="Y55" i="28"/>
  <c r="B55" i="28"/>
  <c r="A55" i="28"/>
  <c r="AF54" i="28"/>
  <c r="AC54" i="28"/>
  <c r="AA54" i="28"/>
  <c r="Y54" i="28"/>
  <c r="B54" i="28"/>
  <c r="A54" i="28"/>
  <c r="AF53" i="28"/>
  <c r="AE53" i="28"/>
  <c r="AD53" i="28"/>
  <c r="AC53" i="28"/>
  <c r="AB53" i="28"/>
  <c r="AA53" i="28"/>
  <c r="Y53" i="28"/>
  <c r="B53" i="28"/>
  <c r="Z53" i="28" s="1"/>
  <c r="A53" i="28"/>
  <c r="AE52" i="28"/>
  <c r="AD52" i="28"/>
  <c r="AC52" i="28"/>
  <c r="AB52" i="28"/>
  <c r="AA52" i="28"/>
  <c r="Z52" i="28"/>
  <c r="Y52" i="28"/>
  <c r="K17" i="28"/>
  <c r="J17" i="28"/>
  <c r="I17" i="28"/>
  <c r="H17" i="28"/>
  <c r="G17" i="28"/>
  <c r="F17" i="28"/>
  <c r="J16" i="28"/>
  <c r="I16" i="28"/>
  <c r="H16" i="28"/>
  <c r="G16" i="28"/>
  <c r="K16" i="28" s="1"/>
  <c r="F16" i="28"/>
  <c r="K15" i="28"/>
  <c r="J15" i="28"/>
  <c r="I15" i="28"/>
  <c r="H15" i="28"/>
  <c r="G15" i="28"/>
  <c r="F15" i="28"/>
  <c r="J14" i="28"/>
  <c r="I14" i="28"/>
  <c r="H14" i="28"/>
  <c r="G14" i="28"/>
  <c r="K14" i="28" s="1"/>
  <c r="F14" i="28"/>
  <c r="K13" i="28"/>
  <c r="J13" i="28"/>
  <c r="I13" i="28"/>
  <c r="H13" i="28"/>
  <c r="G13" i="28"/>
  <c r="F13" i="28"/>
  <c r="J12" i="28"/>
  <c r="I12" i="28"/>
  <c r="H12" i="28"/>
  <c r="G12" i="28"/>
  <c r="F12" i="28"/>
  <c r="K11" i="28"/>
  <c r="J11" i="28"/>
  <c r="I11" i="28"/>
  <c r="H11" i="28"/>
  <c r="G11" i="28"/>
  <c r="F11" i="28"/>
  <c r="E7" i="28"/>
  <c r="D7" i="28"/>
  <c r="C7" i="28"/>
  <c r="B7" i="28"/>
  <c r="A7" i="28"/>
  <c r="A5" i="28"/>
  <c r="J2" i="28"/>
  <c r="H2" i="28"/>
  <c r="F2" i="28"/>
  <c r="D2" i="28"/>
  <c r="B2" i="28"/>
  <c r="A1" i="28"/>
  <c r="R230" i="27"/>
  <c r="B230" i="27"/>
  <c r="A230" i="27"/>
  <c r="W229" i="27"/>
  <c r="V229" i="27"/>
  <c r="U229" i="27"/>
  <c r="T229" i="27"/>
  <c r="R229" i="27"/>
  <c r="P229" i="27"/>
  <c r="B229" i="27"/>
  <c r="A229" i="27"/>
  <c r="W228" i="27"/>
  <c r="V228" i="27"/>
  <c r="U228" i="27"/>
  <c r="T228" i="27"/>
  <c r="S228" i="27"/>
  <c r="R228" i="27"/>
  <c r="P228" i="27"/>
  <c r="B228" i="27"/>
  <c r="Q228" i="27" s="1"/>
  <c r="A228" i="27"/>
  <c r="W227" i="27"/>
  <c r="V227" i="27"/>
  <c r="U227" i="27"/>
  <c r="T227" i="27"/>
  <c r="S227" i="27"/>
  <c r="R227" i="27"/>
  <c r="Q227" i="27"/>
  <c r="P227" i="27"/>
  <c r="B227" i="27"/>
  <c r="A227" i="27"/>
  <c r="V226" i="27"/>
  <c r="B226" i="27"/>
  <c r="A226" i="27"/>
  <c r="V225" i="27"/>
  <c r="T225" i="27"/>
  <c r="S225" i="27"/>
  <c r="R225" i="27"/>
  <c r="Q225" i="27"/>
  <c r="P225" i="27"/>
  <c r="B225" i="27"/>
  <c r="A225" i="27"/>
  <c r="B224" i="27"/>
  <c r="A224" i="27"/>
  <c r="W223" i="27"/>
  <c r="V223" i="27"/>
  <c r="T223" i="27"/>
  <c r="B223" i="27"/>
  <c r="A223" i="27"/>
  <c r="W222" i="27"/>
  <c r="V222" i="27"/>
  <c r="U222" i="27"/>
  <c r="T222" i="27"/>
  <c r="S222" i="27"/>
  <c r="R222" i="27"/>
  <c r="P222" i="27"/>
  <c r="B222" i="27"/>
  <c r="Q222" i="27" s="1"/>
  <c r="A222" i="27"/>
  <c r="W221" i="27"/>
  <c r="V221" i="27"/>
  <c r="U221" i="27"/>
  <c r="T221" i="27"/>
  <c r="S221" i="27"/>
  <c r="R221" i="27"/>
  <c r="Q221" i="27"/>
  <c r="P221" i="27"/>
  <c r="B221" i="27"/>
  <c r="A221" i="27"/>
  <c r="V220" i="27"/>
  <c r="S220" i="27"/>
  <c r="R220" i="27"/>
  <c r="Q220" i="27"/>
  <c r="P220" i="27"/>
  <c r="B220" i="27"/>
  <c r="A220" i="27"/>
  <c r="B219" i="27"/>
  <c r="A219" i="27"/>
  <c r="W218" i="27"/>
  <c r="V218" i="27"/>
  <c r="T218" i="27"/>
  <c r="R218" i="27"/>
  <c r="Q218" i="27"/>
  <c r="P218" i="27"/>
  <c r="B218" i="27"/>
  <c r="A218" i="27"/>
  <c r="B217" i="27"/>
  <c r="A217" i="27"/>
  <c r="W216" i="27"/>
  <c r="V216" i="27"/>
  <c r="U216" i="27"/>
  <c r="T216" i="27"/>
  <c r="S216" i="27"/>
  <c r="R216" i="27"/>
  <c r="P216" i="27"/>
  <c r="B216" i="27"/>
  <c r="Q216" i="27" s="1"/>
  <c r="A216" i="27"/>
  <c r="W215" i="27"/>
  <c r="V215" i="27"/>
  <c r="U215" i="27"/>
  <c r="T215" i="27"/>
  <c r="S215" i="27"/>
  <c r="R215" i="27"/>
  <c r="Q215" i="27"/>
  <c r="P215" i="27"/>
  <c r="B215" i="27"/>
  <c r="A215" i="27"/>
  <c r="V214" i="27"/>
  <c r="U214" i="27"/>
  <c r="T214" i="27"/>
  <c r="S214" i="27"/>
  <c r="R214" i="27"/>
  <c r="Q214" i="27"/>
  <c r="P214" i="27"/>
  <c r="B214" i="27"/>
  <c r="W214" i="27" s="1"/>
  <c r="A214" i="27"/>
  <c r="B213" i="27"/>
  <c r="A213" i="27"/>
  <c r="W212" i="27"/>
  <c r="V212" i="27"/>
  <c r="R212" i="27"/>
  <c r="B212" i="27"/>
  <c r="A212" i="27"/>
  <c r="W211" i="27"/>
  <c r="V211" i="27"/>
  <c r="U211" i="27"/>
  <c r="T211" i="27"/>
  <c r="R211" i="27"/>
  <c r="P211" i="27"/>
  <c r="B211" i="27"/>
  <c r="A211" i="27"/>
  <c r="W210" i="27"/>
  <c r="V210" i="27"/>
  <c r="U210" i="27"/>
  <c r="T210" i="27"/>
  <c r="S210" i="27"/>
  <c r="R210" i="27"/>
  <c r="P210" i="27"/>
  <c r="B210" i="27"/>
  <c r="Q210" i="27" s="1"/>
  <c r="A210" i="27"/>
  <c r="W209" i="27"/>
  <c r="V209" i="27"/>
  <c r="U209" i="27"/>
  <c r="T209" i="27"/>
  <c r="S209" i="27"/>
  <c r="R209" i="27"/>
  <c r="Q209" i="27"/>
  <c r="P209" i="27"/>
  <c r="B209" i="27"/>
  <c r="A209" i="27"/>
  <c r="B208" i="27"/>
  <c r="A208" i="27"/>
  <c r="V207" i="27"/>
  <c r="T207" i="27"/>
  <c r="S207" i="27"/>
  <c r="R207" i="27"/>
  <c r="Q207" i="27"/>
  <c r="P207" i="27"/>
  <c r="B207" i="27"/>
  <c r="A207" i="27"/>
  <c r="Q206" i="27"/>
  <c r="P206" i="27"/>
  <c r="B206" i="27"/>
  <c r="R206" i="27" s="1"/>
  <c r="A206" i="27"/>
  <c r="W205" i="27"/>
  <c r="V205" i="27"/>
  <c r="B205" i="27"/>
  <c r="A205" i="27"/>
  <c r="W204" i="27"/>
  <c r="V204" i="27"/>
  <c r="U204" i="27"/>
  <c r="T204" i="27"/>
  <c r="S204" i="27"/>
  <c r="R204" i="27"/>
  <c r="P204" i="27"/>
  <c r="B204" i="27"/>
  <c r="Q204" i="27" s="1"/>
  <c r="A204" i="27"/>
  <c r="W203" i="27"/>
  <c r="V203" i="27"/>
  <c r="U203" i="27"/>
  <c r="T203" i="27"/>
  <c r="S203" i="27"/>
  <c r="R203" i="27"/>
  <c r="Q203" i="27"/>
  <c r="P203" i="27"/>
  <c r="B203" i="27"/>
  <c r="A203" i="27"/>
  <c r="V202" i="27"/>
  <c r="P202" i="27"/>
  <c r="B202" i="27"/>
  <c r="A202" i="27"/>
  <c r="B201" i="27"/>
  <c r="A201" i="27"/>
  <c r="W200" i="27"/>
  <c r="V200" i="27"/>
  <c r="U200" i="27"/>
  <c r="T200" i="27"/>
  <c r="S200" i="27"/>
  <c r="Q200" i="27"/>
  <c r="P200" i="27"/>
  <c r="B200" i="27"/>
  <c r="R200" i="27" s="1"/>
  <c r="A200" i="27"/>
  <c r="W199" i="27"/>
  <c r="V199" i="27"/>
  <c r="U199" i="27"/>
  <c r="Q199" i="27"/>
  <c r="B199" i="27"/>
  <c r="P199" i="27" s="1"/>
  <c r="A199" i="27"/>
  <c r="V198" i="27"/>
  <c r="U198" i="27"/>
  <c r="T198" i="27"/>
  <c r="S198" i="27"/>
  <c r="R198" i="27"/>
  <c r="Q198" i="27"/>
  <c r="P198" i="27"/>
  <c r="B198" i="27"/>
  <c r="W198" i="27" s="1"/>
  <c r="A198" i="27"/>
  <c r="S197" i="27"/>
  <c r="R197" i="27"/>
  <c r="Q197" i="27"/>
  <c r="P197" i="27"/>
  <c r="B197" i="27"/>
  <c r="A197" i="27"/>
  <c r="W196" i="27"/>
  <c r="P196" i="27"/>
  <c r="B196" i="27"/>
  <c r="A196" i="27"/>
  <c r="V195" i="27"/>
  <c r="U195" i="27"/>
  <c r="S195" i="27"/>
  <c r="B195" i="27"/>
  <c r="A195" i="27"/>
  <c r="W194" i="27"/>
  <c r="V194" i="27"/>
  <c r="U194" i="27"/>
  <c r="T194" i="27"/>
  <c r="S194" i="27"/>
  <c r="Q194" i="27"/>
  <c r="B194" i="27"/>
  <c r="R194" i="27" s="1"/>
  <c r="A194" i="27"/>
  <c r="W193" i="27"/>
  <c r="V193" i="27"/>
  <c r="U193" i="27"/>
  <c r="Q193" i="27"/>
  <c r="B193" i="27"/>
  <c r="P193" i="27" s="1"/>
  <c r="A193" i="27"/>
  <c r="W192" i="27"/>
  <c r="V192" i="27"/>
  <c r="U192" i="27"/>
  <c r="T192" i="27"/>
  <c r="S192" i="27"/>
  <c r="R192" i="27"/>
  <c r="Q192" i="27"/>
  <c r="B192" i="27"/>
  <c r="P192" i="27" s="1"/>
  <c r="A192" i="27"/>
  <c r="W191" i="27"/>
  <c r="V191" i="27"/>
  <c r="U191" i="27"/>
  <c r="T191" i="27"/>
  <c r="S191" i="27"/>
  <c r="R191" i="27"/>
  <c r="Q191" i="27"/>
  <c r="P191" i="27"/>
  <c r="B191" i="27"/>
  <c r="A191" i="27"/>
  <c r="V190" i="27"/>
  <c r="U190" i="27"/>
  <c r="T190" i="27"/>
  <c r="S190" i="27"/>
  <c r="R190" i="27"/>
  <c r="Q190" i="27"/>
  <c r="P190" i="27"/>
  <c r="AE184" i="27"/>
  <c r="Y184" i="27"/>
  <c r="B184" i="27"/>
  <c r="A184" i="27"/>
  <c r="AF183" i="27"/>
  <c r="AE183" i="27"/>
  <c r="AD183" i="27"/>
  <c r="AC183" i="27"/>
  <c r="AB183" i="27"/>
  <c r="AA183" i="27"/>
  <c r="Z183" i="27"/>
  <c r="Y183" i="27"/>
  <c r="B183" i="27"/>
  <c r="A183" i="27"/>
  <c r="AF182" i="27"/>
  <c r="AE182" i="27"/>
  <c r="AD182" i="27"/>
  <c r="AC182" i="27"/>
  <c r="AB182" i="27"/>
  <c r="AA182" i="27"/>
  <c r="Z182" i="27"/>
  <c r="Y182" i="27"/>
  <c r="B182" i="27"/>
  <c r="A182" i="27"/>
  <c r="AC181" i="27"/>
  <c r="AB181" i="27"/>
  <c r="AA181" i="27"/>
  <c r="B181" i="27"/>
  <c r="A181" i="27"/>
  <c r="B180" i="27"/>
  <c r="A180" i="27"/>
  <c r="B179" i="27"/>
  <c r="A179" i="27"/>
  <c r="AF178" i="27"/>
  <c r="AE178" i="27"/>
  <c r="AD178" i="27"/>
  <c r="AC178" i="27"/>
  <c r="AB178" i="27"/>
  <c r="AA178" i="27"/>
  <c r="Y178" i="27"/>
  <c r="B178" i="27"/>
  <c r="Z178" i="27" s="1"/>
  <c r="A178" i="27"/>
  <c r="AF177" i="27"/>
  <c r="AE177" i="27"/>
  <c r="AD177" i="27"/>
  <c r="AC177" i="27"/>
  <c r="AB177" i="27"/>
  <c r="AA177" i="27"/>
  <c r="Z177" i="27"/>
  <c r="Y177" i="27"/>
  <c r="B177" i="27"/>
  <c r="A177" i="27"/>
  <c r="AC176" i="27"/>
  <c r="AB176" i="27"/>
  <c r="AA176" i="27"/>
  <c r="Z176" i="27"/>
  <c r="B176" i="27"/>
  <c r="A176" i="27"/>
  <c r="Z175" i="27"/>
  <c r="Y175" i="27"/>
  <c r="B175" i="27"/>
  <c r="AD175" i="27" s="1"/>
  <c r="A175" i="27"/>
  <c r="AF174" i="27"/>
  <c r="AE174" i="27"/>
  <c r="AC174" i="27"/>
  <c r="AB174" i="27"/>
  <c r="AA174" i="27"/>
  <c r="Z174" i="27"/>
  <c r="B174" i="27"/>
  <c r="AD174" i="27" s="1"/>
  <c r="A174" i="27"/>
  <c r="AF173" i="27"/>
  <c r="AE173" i="27"/>
  <c r="AD173" i="27"/>
  <c r="AC173" i="27"/>
  <c r="AA173" i="27"/>
  <c r="Z173" i="27"/>
  <c r="Y173" i="27"/>
  <c r="B173" i="27"/>
  <c r="AB173" i="27" s="1"/>
  <c r="A173" i="27"/>
  <c r="AB172" i="27"/>
  <c r="AA172" i="27"/>
  <c r="B172" i="27"/>
  <c r="A172" i="27"/>
  <c r="AF171" i="27"/>
  <c r="AE171" i="27"/>
  <c r="AD171" i="27"/>
  <c r="AC171" i="27"/>
  <c r="AB171" i="27"/>
  <c r="AA171" i="27"/>
  <c r="Z171" i="27"/>
  <c r="Y171" i="27"/>
  <c r="B171" i="27"/>
  <c r="A171" i="27"/>
  <c r="AF170" i="27"/>
  <c r="AE170" i="27"/>
  <c r="AD170" i="27"/>
  <c r="AC170" i="27"/>
  <c r="AB170" i="27"/>
  <c r="B170" i="27"/>
  <c r="A170" i="27"/>
  <c r="AE169" i="27"/>
  <c r="AD169" i="27"/>
  <c r="AC169" i="27"/>
  <c r="AB169" i="27"/>
  <c r="AA169" i="27"/>
  <c r="Z169" i="27"/>
  <c r="Y169" i="27"/>
  <c r="B169" i="27"/>
  <c r="AF169" i="27" s="1"/>
  <c r="A169" i="27"/>
  <c r="Y168" i="27"/>
  <c r="B168" i="27"/>
  <c r="A168" i="27"/>
  <c r="AF167" i="27"/>
  <c r="AC167" i="27"/>
  <c r="AB167" i="27"/>
  <c r="Z167" i="27"/>
  <c r="Y167" i="27"/>
  <c r="B167" i="27"/>
  <c r="A167" i="27"/>
  <c r="AD166" i="27"/>
  <c r="Z166" i="27"/>
  <c r="B166" i="27"/>
  <c r="A166" i="27"/>
  <c r="AB165" i="27"/>
  <c r="Y165" i="27"/>
  <c r="B165" i="27"/>
  <c r="AC165" i="27" s="1"/>
  <c r="A165" i="27"/>
  <c r="AF164" i="27"/>
  <c r="AE164" i="27"/>
  <c r="AD164" i="27"/>
  <c r="AC164" i="27"/>
  <c r="AB164" i="27"/>
  <c r="AA164" i="27"/>
  <c r="Z164" i="27"/>
  <c r="B164" i="27"/>
  <c r="Y164" i="27" s="1"/>
  <c r="A164" i="27"/>
  <c r="AF163" i="27"/>
  <c r="AE163" i="27"/>
  <c r="AD163" i="27"/>
  <c r="AC163" i="27"/>
  <c r="AB163" i="27"/>
  <c r="AA163" i="27"/>
  <c r="B163" i="27"/>
  <c r="Z163" i="27" s="1"/>
  <c r="A163" i="27"/>
  <c r="AE162" i="27"/>
  <c r="AD162" i="27"/>
  <c r="B162" i="27"/>
  <c r="A162" i="27"/>
  <c r="B161" i="27"/>
  <c r="A161" i="27"/>
  <c r="AF160" i="27"/>
  <c r="AE160" i="27"/>
  <c r="AD160" i="27"/>
  <c r="Z160" i="27"/>
  <c r="Y160" i="27"/>
  <c r="B160" i="27"/>
  <c r="A160" i="27"/>
  <c r="B159" i="27"/>
  <c r="A159" i="27"/>
  <c r="AF158" i="27"/>
  <c r="AE158" i="27"/>
  <c r="AD158" i="27"/>
  <c r="AC158" i="27"/>
  <c r="AB158" i="27"/>
  <c r="AA158" i="27"/>
  <c r="Z158" i="27"/>
  <c r="B158" i="27"/>
  <c r="Y158" i="27" s="1"/>
  <c r="A158" i="27"/>
  <c r="B157" i="27"/>
  <c r="A157" i="27"/>
  <c r="AE156" i="27"/>
  <c r="AD156" i="27"/>
  <c r="AC156" i="27"/>
  <c r="AB156" i="27"/>
  <c r="Z156" i="27"/>
  <c r="Y156" i="27"/>
  <c r="B156" i="27"/>
  <c r="AF156" i="27" s="1"/>
  <c r="A156" i="27"/>
  <c r="B155" i="27"/>
  <c r="A155" i="27"/>
  <c r="B154" i="27"/>
  <c r="A154" i="27"/>
  <c r="AF153" i="27"/>
  <c r="AE153" i="27"/>
  <c r="AD153" i="27"/>
  <c r="AB153" i="27"/>
  <c r="Y153" i="27"/>
  <c r="B153" i="27"/>
  <c r="A153" i="27"/>
  <c r="AF152" i="27"/>
  <c r="AE152" i="27"/>
  <c r="AD152" i="27"/>
  <c r="AC152" i="27"/>
  <c r="AB152" i="27"/>
  <c r="AA152" i="27"/>
  <c r="Z152" i="27"/>
  <c r="B152" i="27"/>
  <c r="Y152" i="27" s="1"/>
  <c r="A152" i="27"/>
  <c r="AD151" i="27"/>
  <c r="AC151" i="27"/>
  <c r="AB151" i="27"/>
  <c r="AA151" i="27"/>
  <c r="Z151" i="27"/>
  <c r="Y151" i="27"/>
  <c r="B151" i="27"/>
  <c r="AF151" i="27" s="1"/>
  <c r="A151" i="27"/>
  <c r="B150" i="27"/>
  <c r="A150" i="27"/>
  <c r="AF149" i="27"/>
  <c r="AC149" i="27"/>
  <c r="AB149" i="27"/>
  <c r="Z149" i="27"/>
  <c r="Y149" i="27"/>
  <c r="B149" i="27"/>
  <c r="A149" i="27"/>
  <c r="AF148" i="27"/>
  <c r="B148" i="27"/>
  <c r="A148" i="27"/>
  <c r="B147" i="27"/>
  <c r="A147" i="27"/>
  <c r="AF146" i="27"/>
  <c r="AE146" i="27"/>
  <c r="AD146" i="27"/>
  <c r="AC146" i="27"/>
  <c r="AB146" i="27"/>
  <c r="AA146" i="27"/>
  <c r="Z146" i="27"/>
  <c r="B146" i="27"/>
  <c r="Y146" i="27" s="1"/>
  <c r="A146" i="27"/>
  <c r="AF145" i="27"/>
  <c r="AE145" i="27"/>
  <c r="AD145" i="27"/>
  <c r="AC145" i="27"/>
  <c r="AB145" i="27"/>
  <c r="AA145" i="27"/>
  <c r="B145" i="27"/>
  <c r="Z145" i="27" s="1"/>
  <c r="A145" i="27"/>
  <c r="AE144" i="27"/>
  <c r="AD144" i="27"/>
  <c r="AC144" i="27"/>
  <c r="AB144" i="27"/>
  <c r="AA144" i="27"/>
  <c r="Z144" i="27"/>
  <c r="Y144" i="27"/>
  <c r="B138" i="27"/>
  <c r="A138" i="27"/>
  <c r="Z137" i="27"/>
  <c r="Y137" i="27"/>
  <c r="X137" i="27"/>
  <c r="W137" i="27"/>
  <c r="V137" i="27"/>
  <c r="B137" i="27"/>
  <c r="A137" i="27"/>
  <c r="Z136" i="27"/>
  <c r="Y136" i="27"/>
  <c r="X136" i="27"/>
  <c r="W136" i="27"/>
  <c r="V136" i="27"/>
  <c r="U136" i="27"/>
  <c r="T136" i="27"/>
  <c r="S136" i="27"/>
  <c r="B136" i="27"/>
  <c r="A136" i="27"/>
  <c r="T135" i="27"/>
  <c r="B135" i="27"/>
  <c r="A135" i="27"/>
  <c r="X134" i="27"/>
  <c r="S134" i="27"/>
  <c r="B134" i="27"/>
  <c r="A134" i="27"/>
  <c r="Z133" i="27"/>
  <c r="Y133" i="27"/>
  <c r="V133" i="27"/>
  <c r="U133" i="27"/>
  <c r="T133" i="27"/>
  <c r="B133" i="27"/>
  <c r="A133" i="27"/>
  <c r="B132" i="27"/>
  <c r="A132" i="27"/>
  <c r="Z131" i="27"/>
  <c r="U131" i="27"/>
  <c r="B131" i="27"/>
  <c r="A131" i="27"/>
  <c r="Z130" i="27"/>
  <c r="Y130" i="27"/>
  <c r="X130" i="27"/>
  <c r="W130" i="27"/>
  <c r="V130" i="27"/>
  <c r="U130" i="27"/>
  <c r="T130" i="27"/>
  <c r="S130" i="27"/>
  <c r="B130" i="27"/>
  <c r="A130" i="27"/>
  <c r="Z129" i="27"/>
  <c r="Y129" i="27"/>
  <c r="X129" i="27"/>
  <c r="W129" i="27"/>
  <c r="V129" i="27"/>
  <c r="U129" i="27"/>
  <c r="T129" i="27"/>
  <c r="B129" i="27"/>
  <c r="S129" i="27" s="1"/>
  <c r="A129" i="27"/>
  <c r="V128" i="27"/>
  <c r="U128" i="27"/>
  <c r="T128" i="27"/>
  <c r="B128" i="27"/>
  <c r="A128" i="27"/>
  <c r="Z127" i="27"/>
  <c r="S127" i="27"/>
  <c r="B127" i="27"/>
  <c r="A127" i="27"/>
  <c r="Z126" i="27"/>
  <c r="Y126" i="27"/>
  <c r="X126" i="27"/>
  <c r="W126" i="27"/>
  <c r="T126" i="27"/>
  <c r="B126" i="27"/>
  <c r="A126" i="27"/>
  <c r="Y125" i="27"/>
  <c r="W125" i="27"/>
  <c r="B125" i="27"/>
  <c r="A125" i="27"/>
  <c r="Z124" i="27"/>
  <c r="Y124" i="27"/>
  <c r="X124" i="27"/>
  <c r="W124" i="27"/>
  <c r="V124" i="27"/>
  <c r="U124" i="27"/>
  <c r="T124" i="27"/>
  <c r="S124" i="27"/>
  <c r="B124" i="27"/>
  <c r="A124" i="27"/>
  <c r="B123" i="27"/>
  <c r="A123" i="27"/>
  <c r="X122" i="27"/>
  <c r="W122" i="27"/>
  <c r="V122" i="27"/>
  <c r="U122" i="27"/>
  <c r="T122" i="27"/>
  <c r="B122" i="27"/>
  <c r="A122" i="27"/>
  <c r="Y121" i="27"/>
  <c r="U121" i="27"/>
  <c r="T121" i="27"/>
  <c r="S121" i="27"/>
  <c r="B121" i="27"/>
  <c r="A121" i="27"/>
  <c r="B120" i="27"/>
  <c r="A120" i="27"/>
  <c r="Z119" i="27"/>
  <c r="Y119" i="27"/>
  <c r="X119" i="27"/>
  <c r="W119" i="27"/>
  <c r="V119" i="27"/>
  <c r="B119" i="27"/>
  <c r="A119" i="27"/>
  <c r="Z118" i="27"/>
  <c r="Y118" i="27"/>
  <c r="X118" i="27"/>
  <c r="W118" i="27"/>
  <c r="V118" i="27"/>
  <c r="U118" i="27"/>
  <c r="T118" i="27"/>
  <c r="S118" i="27"/>
  <c r="B118" i="27"/>
  <c r="A118" i="27"/>
  <c r="U117" i="27"/>
  <c r="B117" i="27"/>
  <c r="A117" i="27"/>
  <c r="S116" i="27"/>
  <c r="B116" i="27"/>
  <c r="A116" i="27"/>
  <c r="Z115" i="27"/>
  <c r="Y115" i="27"/>
  <c r="V115" i="27"/>
  <c r="U115" i="27"/>
  <c r="T115" i="27"/>
  <c r="B115" i="27"/>
  <c r="A115" i="27"/>
  <c r="B114" i="27"/>
  <c r="A114" i="27"/>
  <c r="U113" i="27"/>
  <c r="B113" i="27"/>
  <c r="A113" i="27"/>
  <c r="Z112" i="27"/>
  <c r="Y112" i="27"/>
  <c r="X112" i="27"/>
  <c r="W112" i="27"/>
  <c r="V112" i="27"/>
  <c r="U112" i="27"/>
  <c r="T112" i="27"/>
  <c r="S112" i="27"/>
  <c r="B112" i="27"/>
  <c r="A112" i="27"/>
  <c r="Z111" i="27"/>
  <c r="Y111" i="27"/>
  <c r="X111" i="27"/>
  <c r="W111" i="27"/>
  <c r="V111" i="27"/>
  <c r="U111" i="27"/>
  <c r="T111" i="27"/>
  <c r="B111" i="27"/>
  <c r="S111" i="27" s="1"/>
  <c r="A111" i="27"/>
  <c r="W110" i="27"/>
  <c r="U110" i="27"/>
  <c r="T110" i="27"/>
  <c r="B110" i="27"/>
  <c r="A110" i="27"/>
  <c r="S109" i="27"/>
  <c r="B109" i="27"/>
  <c r="A109" i="27"/>
  <c r="Z108" i="27"/>
  <c r="Y108" i="27"/>
  <c r="X108" i="27"/>
  <c r="W108" i="27"/>
  <c r="T108" i="27"/>
  <c r="B108" i="27"/>
  <c r="A108" i="27"/>
  <c r="U107" i="27"/>
  <c r="B107" i="27"/>
  <c r="A107" i="27"/>
  <c r="Z106" i="27"/>
  <c r="Y106" i="27"/>
  <c r="X106" i="27"/>
  <c r="W106" i="27"/>
  <c r="V106" i="27"/>
  <c r="U106" i="27"/>
  <c r="T106" i="27"/>
  <c r="S106" i="27"/>
  <c r="B106" i="27"/>
  <c r="A106" i="27"/>
  <c r="B105" i="27"/>
  <c r="A105" i="27"/>
  <c r="X104" i="27"/>
  <c r="T104" i="27"/>
  <c r="B104" i="27"/>
  <c r="A104" i="27"/>
  <c r="Y103" i="27"/>
  <c r="V103" i="27"/>
  <c r="T103" i="27"/>
  <c r="S103" i="27"/>
  <c r="B103" i="27"/>
  <c r="U103" i="27" s="1"/>
  <c r="A103" i="27"/>
  <c r="S102" i="27"/>
  <c r="B102" i="27"/>
  <c r="A102" i="27"/>
  <c r="Z101" i="27"/>
  <c r="Y101" i="27"/>
  <c r="X101" i="27"/>
  <c r="W101" i="27"/>
  <c r="V101" i="27"/>
  <c r="S101" i="27"/>
  <c r="B101" i="27"/>
  <c r="T101" i="27" s="1"/>
  <c r="A101" i="27"/>
  <c r="Z100" i="27"/>
  <c r="Y100" i="27"/>
  <c r="X100" i="27"/>
  <c r="W100" i="27"/>
  <c r="V100" i="27"/>
  <c r="U100" i="27"/>
  <c r="T100" i="27"/>
  <c r="S100" i="27"/>
  <c r="B100" i="27"/>
  <c r="A100" i="27"/>
  <c r="X99" i="27"/>
  <c r="W99" i="27"/>
  <c r="V99" i="27"/>
  <c r="U99" i="27"/>
  <c r="T99" i="27"/>
  <c r="S99" i="27"/>
  <c r="B99" i="27"/>
  <c r="Z99" i="27" s="1"/>
  <c r="A99" i="27"/>
  <c r="Y98" i="27"/>
  <c r="X98" i="27"/>
  <c r="W98" i="27"/>
  <c r="V98" i="27"/>
  <c r="U98" i="27"/>
  <c r="T98" i="27"/>
  <c r="S98" i="27"/>
  <c r="AF92" i="27"/>
  <c r="AE92" i="27"/>
  <c r="AD92" i="27"/>
  <c r="AC92" i="27"/>
  <c r="AB92" i="27"/>
  <c r="Z92" i="27"/>
  <c r="Y92" i="27"/>
  <c r="B92" i="27"/>
  <c r="AA92" i="27" s="1"/>
  <c r="A92" i="27"/>
  <c r="B91" i="27"/>
  <c r="A91" i="27"/>
  <c r="AE90" i="27"/>
  <c r="AD90" i="27"/>
  <c r="AC90" i="27"/>
  <c r="AB90" i="27"/>
  <c r="AA90" i="27"/>
  <c r="Z90" i="27"/>
  <c r="B90" i="27"/>
  <c r="A90" i="27"/>
  <c r="AB89" i="27"/>
  <c r="AA89" i="27"/>
  <c r="Y89" i="27"/>
  <c r="B89" i="27"/>
  <c r="A89" i="27"/>
  <c r="AF88" i="27"/>
  <c r="Z88" i="27"/>
  <c r="B88" i="27"/>
  <c r="A88" i="27"/>
  <c r="AF87" i="27"/>
  <c r="AB87" i="27"/>
  <c r="Y87" i="27"/>
  <c r="B87" i="27"/>
  <c r="AD87" i="27" s="1"/>
  <c r="A87" i="27"/>
  <c r="AF86" i="27"/>
  <c r="AE86" i="27"/>
  <c r="AD86" i="27"/>
  <c r="AC86" i="27"/>
  <c r="AB86" i="27"/>
  <c r="Z86" i="27"/>
  <c r="Y86" i="27"/>
  <c r="B86" i="27"/>
  <c r="AA86" i="27" s="1"/>
  <c r="A86" i="27"/>
  <c r="AF85" i="27"/>
  <c r="AE85" i="27"/>
  <c r="AD85" i="27"/>
  <c r="Z85" i="27"/>
  <c r="B85" i="27"/>
  <c r="A85" i="27"/>
  <c r="AE84" i="27"/>
  <c r="AD84" i="27"/>
  <c r="B84" i="27"/>
  <c r="A84" i="27"/>
  <c r="AC83" i="27"/>
  <c r="AA83" i="27"/>
  <c r="Z83" i="27"/>
  <c r="Y83" i="27"/>
  <c r="B83" i="27"/>
  <c r="A83" i="27"/>
  <c r="AF82" i="27"/>
  <c r="AA82" i="27"/>
  <c r="B82" i="27"/>
  <c r="A82" i="27"/>
  <c r="B81" i="27"/>
  <c r="A81" i="27"/>
  <c r="AF80" i="27"/>
  <c r="AE80" i="27"/>
  <c r="AD80" i="27"/>
  <c r="AC80" i="27"/>
  <c r="AB80" i="27"/>
  <c r="Z80" i="27"/>
  <c r="Y80" i="27"/>
  <c r="B80" i="27"/>
  <c r="AA80" i="27" s="1"/>
  <c r="A80" i="27"/>
  <c r="AF79" i="27"/>
  <c r="AE79" i="27"/>
  <c r="AD79" i="27"/>
  <c r="AC79" i="27"/>
  <c r="AB79" i="27"/>
  <c r="Z79" i="27"/>
  <c r="B79" i="27"/>
  <c r="A79" i="27"/>
  <c r="AB78" i="27"/>
  <c r="Z78" i="27"/>
  <c r="B78" i="27"/>
  <c r="A78" i="27"/>
  <c r="AA77" i="27"/>
  <c r="B77" i="27"/>
  <c r="A77" i="27"/>
  <c r="AF76" i="27"/>
  <c r="AD76" i="27"/>
  <c r="AA76" i="27"/>
  <c r="Z76" i="27"/>
  <c r="Y76" i="27"/>
  <c r="B76" i="27"/>
  <c r="A76" i="27"/>
  <c r="AB75" i="27"/>
  <c r="B75" i="27"/>
  <c r="A75" i="27"/>
  <c r="AF74" i="27"/>
  <c r="AE74" i="27"/>
  <c r="AD74" i="27"/>
  <c r="AC74" i="27"/>
  <c r="AB74" i="27"/>
  <c r="Z74" i="27"/>
  <c r="Y74" i="27"/>
  <c r="B74" i="27"/>
  <c r="AA74" i="27" s="1"/>
  <c r="A74" i="27"/>
  <c r="AF73" i="27"/>
  <c r="AE73" i="27"/>
  <c r="AC73" i="27"/>
  <c r="AB73" i="27"/>
  <c r="B73" i="27"/>
  <c r="A73" i="27"/>
  <c r="AD72" i="27"/>
  <c r="AB72" i="27"/>
  <c r="AA72" i="27"/>
  <c r="Z72" i="27"/>
  <c r="B72" i="27"/>
  <c r="A72" i="27"/>
  <c r="AF71" i="27"/>
  <c r="AC71" i="27"/>
  <c r="AB71" i="27"/>
  <c r="Y71" i="27"/>
  <c r="B71" i="27"/>
  <c r="A71" i="27"/>
  <c r="AF70" i="27"/>
  <c r="AD70" i="27"/>
  <c r="Z70" i="27"/>
  <c r="Y70" i="27"/>
  <c r="B70" i="27"/>
  <c r="AA70" i="27" s="1"/>
  <c r="A70" i="27"/>
  <c r="B69" i="27"/>
  <c r="A69" i="27"/>
  <c r="AF68" i="27"/>
  <c r="AE68" i="27"/>
  <c r="AD68" i="27"/>
  <c r="AC68" i="27"/>
  <c r="AB68" i="27"/>
  <c r="Z68" i="27"/>
  <c r="Y68" i="27"/>
  <c r="B68" i="27"/>
  <c r="AA68" i="27" s="1"/>
  <c r="A68" i="27"/>
  <c r="AE67" i="27"/>
  <c r="AD67" i="27"/>
  <c r="AC67" i="27"/>
  <c r="Z67" i="27"/>
  <c r="B67" i="27"/>
  <c r="A67" i="27"/>
  <c r="B66" i="27"/>
  <c r="A66" i="27"/>
  <c r="AF65" i="27"/>
  <c r="AC65" i="27"/>
  <c r="AB65" i="27"/>
  <c r="AA65" i="27"/>
  <c r="Z65" i="27"/>
  <c r="Y65" i="27"/>
  <c r="B65" i="27"/>
  <c r="A65" i="27"/>
  <c r="Z64" i="27"/>
  <c r="B64" i="27"/>
  <c r="A64" i="27"/>
  <c r="B63" i="27"/>
  <c r="A63" i="27"/>
  <c r="AF62" i="27"/>
  <c r="AE62" i="27"/>
  <c r="AD62" i="27"/>
  <c r="AC62" i="27"/>
  <c r="AB62" i="27"/>
  <c r="Z62" i="27"/>
  <c r="Y62" i="27"/>
  <c r="B62" i="27"/>
  <c r="AA62" i="27" s="1"/>
  <c r="A62" i="27"/>
  <c r="AE61" i="27"/>
  <c r="AC61" i="27"/>
  <c r="AB61" i="27"/>
  <c r="Z61" i="27"/>
  <c r="B61" i="27"/>
  <c r="A61" i="27"/>
  <c r="AE60" i="27"/>
  <c r="AD60" i="27"/>
  <c r="AC60" i="27"/>
  <c r="Z60" i="27"/>
  <c r="B60" i="27"/>
  <c r="A60" i="27"/>
  <c r="AF59" i="27"/>
  <c r="AC59" i="27"/>
  <c r="AA59" i="27"/>
  <c r="Z59" i="27"/>
  <c r="B59" i="27"/>
  <c r="A59" i="27"/>
  <c r="B58" i="27"/>
  <c r="A58" i="27"/>
  <c r="AF57" i="27"/>
  <c r="AD57" i="27"/>
  <c r="AB57" i="27"/>
  <c r="Y57" i="27"/>
  <c r="B57" i="27"/>
  <c r="A57" i="27"/>
  <c r="AF56" i="27"/>
  <c r="AE56" i="27"/>
  <c r="AD56" i="27"/>
  <c r="AC56" i="27"/>
  <c r="AB56" i="27"/>
  <c r="Z56" i="27"/>
  <c r="Y56" i="27"/>
  <c r="B56" i="27"/>
  <c r="AA56" i="27" s="1"/>
  <c r="A56" i="27"/>
  <c r="AF55" i="27"/>
  <c r="AC55" i="27"/>
  <c r="Z55" i="27"/>
  <c r="B55" i="27"/>
  <c r="A55" i="27"/>
  <c r="AE54" i="27"/>
  <c r="AD54" i="27"/>
  <c r="AC54" i="27"/>
  <c r="AB54" i="27"/>
  <c r="AA54" i="27"/>
  <c r="Z54" i="27"/>
  <c r="B54" i="27"/>
  <c r="A54" i="27"/>
  <c r="AC53" i="27"/>
  <c r="B53" i="27"/>
  <c r="A53" i="27"/>
  <c r="AE52" i="27"/>
  <c r="AD52" i="27"/>
  <c r="AC52" i="27"/>
  <c r="AB52" i="27"/>
  <c r="AA52" i="27"/>
  <c r="Z52" i="27"/>
  <c r="Y52" i="27"/>
  <c r="J17" i="27"/>
  <c r="I17" i="27"/>
  <c r="H17" i="27"/>
  <c r="K17" i="27" s="1"/>
  <c r="G17" i="27"/>
  <c r="F17" i="27"/>
  <c r="J16" i="27"/>
  <c r="I16" i="27"/>
  <c r="H16" i="27"/>
  <c r="G16" i="27"/>
  <c r="K16" i="27" s="1"/>
  <c r="F16" i="27"/>
  <c r="K15" i="27"/>
  <c r="J15" i="27"/>
  <c r="I15" i="27"/>
  <c r="H15" i="27"/>
  <c r="G15" i="27"/>
  <c r="F15" i="27"/>
  <c r="J14" i="27"/>
  <c r="I14" i="27"/>
  <c r="H14" i="27"/>
  <c r="G14" i="27"/>
  <c r="F14" i="27"/>
  <c r="K13" i="27"/>
  <c r="J13" i="27"/>
  <c r="I13" i="27"/>
  <c r="H13" i="27"/>
  <c r="G13" i="27"/>
  <c r="F13" i="27"/>
  <c r="J12" i="27"/>
  <c r="I12" i="27"/>
  <c r="H12" i="27"/>
  <c r="G12" i="27"/>
  <c r="F12" i="27"/>
  <c r="J11" i="27"/>
  <c r="I11" i="27"/>
  <c r="H11" i="27"/>
  <c r="G11" i="27"/>
  <c r="F11" i="27"/>
  <c r="E7" i="27"/>
  <c r="D7" i="27"/>
  <c r="C7" i="27"/>
  <c r="B7" i="27"/>
  <c r="A7" i="27"/>
  <c r="A5" i="27"/>
  <c r="J2" i="27"/>
  <c r="H2" i="27"/>
  <c r="F2" i="27"/>
  <c r="D2" i="27"/>
  <c r="B2" i="27"/>
  <c r="A1" i="27"/>
  <c r="W230" i="26"/>
  <c r="U230" i="26"/>
  <c r="T230" i="26"/>
  <c r="S230" i="26"/>
  <c r="Q230" i="26"/>
  <c r="B230" i="26"/>
  <c r="A230" i="26"/>
  <c r="B229" i="26"/>
  <c r="A229" i="26"/>
  <c r="W228" i="26"/>
  <c r="T228" i="26"/>
  <c r="R228" i="26"/>
  <c r="B228" i="26"/>
  <c r="A228" i="26"/>
  <c r="W227" i="26"/>
  <c r="R227" i="26"/>
  <c r="P227" i="26"/>
  <c r="B227" i="26"/>
  <c r="A227" i="26"/>
  <c r="B226" i="26"/>
  <c r="A226" i="26"/>
  <c r="W225" i="26"/>
  <c r="V225" i="26"/>
  <c r="U225" i="26"/>
  <c r="T225" i="26"/>
  <c r="S225" i="26"/>
  <c r="Q225" i="26"/>
  <c r="P225" i="26"/>
  <c r="B225" i="26"/>
  <c r="R225" i="26" s="1"/>
  <c r="A225" i="26"/>
  <c r="W224" i="26"/>
  <c r="V224" i="26"/>
  <c r="U224" i="26"/>
  <c r="S224" i="26"/>
  <c r="R224" i="26"/>
  <c r="B224" i="26"/>
  <c r="A224" i="26"/>
  <c r="B223" i="26"/>
  <c r="A223" i="26"/>
  <c r="V222" i="26"/>
  <c r="R222" i="26"/>
  <c r="P222" i="26"/>
  <c r="B222" i="26"/>
  <c r="A222" i="26"/>
  <c r="W221" i="26"/>
  <c r="U221" i="26"/>
  <c r="T221" i="26"/>
  <c r="R221" i="26"/>
  <c r="Q221" i="26"/>
  <c r="P221" i="26"/>
  <c r="B221" i="26"/>
  <c r="A221" i="26"/>
  <c r="V220" i="26"/>
  <c r="U220" i="26"/>
  <c r="B220" i="26"/>
  <c r="A220" i="26"/>
  <c r="W219" i="26"/>
  <c r="V219" i="26"/>
  <c r="U219" i="26"/>
  <c r="T219" i="26"/>
  <c r="S219" i="26"/>
  <c r="Q219" i="26"/>
  <c r="P219" i="26"/>
  <c r="B219" i="26"/>
  <c r="R219" i="26" s="1"/>
  <c r="A219" i="26"/>
  <c r="W218" i="26"/>
  <c r="V218" i="26"/>
  <c r="U218" i="26"/>
  <c r="T218" i="26"/>
  <c r="Q218" i="26"/>
  <c r="B218" i="26"/>
  <c r="P218" i="26" s="1"/>
  <c r="A218" i="26"/>
  <c r="V217" i="26"/>
  <c r="U217" i="26"/>
  <c r="T217" i="26"/>
  <c r="S217" i="26"/>
  <c r="R217" i="26"/>
  <c r="Q217" i="26"/>
  <c r="P217" i="26"/>
  <c r="B217" i="26"/>
  <c r="W217" i="26" s="1"/>
  <c r="A217" i="26"/>
  <c r="B216" i="26"/>
  <c r="A216" i="26"/>
  <c r="P215" i="26"/>
  <c r="B215" i="26"/>
  <c r="A215" i="26"/>
  <c r="W214" i="26"/>
  <c r="V214" i="26"/>
  <c r="U214" i="26"/>
  <c r="S214" i="26"/>
  <c r="R214" i="26"/>
  <c r="P214" i="26"/>
  <c r="B214" i="26"/>
  <c r="A214" i="26"/>
  <c r="W213" i="26"/>
  <c r="V213" i="26"/>
  <c r="U213" i="26"/>
  <c r="T213" i="26"/>
  <c r="S213" i="26"/>
  <c r="Q213" i="26"/>
  <c r="P213" i="26"/>
  <c r="B213" i="26"/>
  <c r="R213" i="26" s="1"/>
  <c r="A213" i="26"/>
  <c r="U212" i="26"/>
  <c r="S212" i="26"/>
  <c r="R212" i="26"/>
  <c r="Q212" i="26"/>
  <c r="B212" i="26"/>
  <c r="P212" i="26" s="1"/>
  <c r="A212" i="26"/>
  <c r="T211" i="26"/>
  <c r="B211" i="26"/>
  <c r="A211" i="26"/>
  <c r="W210" i="26"/>
  <c r="V210" i="26"/>
  <c r="T210" i="26"/>
  <c r="S210" i="26"/>
  <c r="R210" i="26"/>
  <c r="Q210" i="26"/>
  <c r="P210" i="26"/>
  <c r="B210" i="26"/>
  <c r="U210" i="26" s="1"/>
  <c r="A210" i="26"/>
  <c r="B209" i="26"/>
  <c r="A209" i="26"/>
  <c r="P208" i="26"/>
  <c r="B208" i="26"/>
  <c r="A208" i="26"/>
  <c r="W207" i="26"/>
  <c r="V207" i="26"/>
  <c r="U207" i="26"/>
  <c r="T207" i="26"/>
  <c r="S207" i="26"/>
  <c r="Q207" i="26"/>
  <c r="P207" i="26"/>
  <c r="B207" i="26"/>
  <c r="R207" i="26" s="1"/>
  <c r="A207" i="26"/>
  <c r="S206" i="26"/>
  <c r="R206" i="26"/>
  <c r="B206" i="26"/>
  <c r="A206" i="26"/>
  <c r="U205" i="26"/>
  <c r="S205" i="26"/>
  <c r="R205" i="26"/>
  <c r="Q205" i="26"/>
  <c r="B205" i="26"/>
  <c r="A205" i="26"/>
  <c r="B204" i="26"/>
  <c r="A204" i="26"/>
  <c r="W203" i="26"/>
  <c r="U203" i="26"/>
  <c r="T203" i="26"/>
  <c r="R203" i="26"/>
  <c r="Q203" i="26"/>
  <c r="P203" i="26"/>
  <c r="B203" i="26"/>
  <c r="A203" i="26"/>
  <c r="P202" i="26"/>
  <c r="B202" i="26"/>
  <c r="A202" i="26"/>
  <c r="W201" i="26"/>
  <c r="V201" i="26"/>
  <c r="U201" i="26"/>
  <c r="T201" i="26"/>
  <c r="S201" i="26"/>
  <c r="Q201" i="26"/>
  <c r="P201" i="26"/>
  <c r="B201" i="26"/>
  <c r="R201" i="26" s="1"/>
  <c r="A201" i="26"/>
  <c r="W200" i="26"/>
  <c r="V200" i="26"/>
  <c r="U200" i="26"/>
  <c r="T200" i="26"/>
  <c r="Q200" i="26"/>
  <c r="B200" i="26"/>
  <c r="P200" i="26" s="1"/>
  <c r="A200" i="26"/>
  <c r="V199" i="26"/>
  <c r="U199" i="26"/>
  <c r="T199" i="26"/>
  <c r="S199" i="26"/>
  <c r="R199" i="26"/>
  <c r="Q199" i="26"/>
  <c r="P199" i="26"/>
  <c r="B199" i="26"/>
  <c r="W199" i="26" s="1"/>
  <c r="A199" i="26"/>
  <c r="W198" i="26"/>
  <c r="T198" i="26"/>
  <c r="R198" i="26"/>
  <c r="P198" i="26"/>
  <c r="B198" i="26"/>
  <c r="A198" i="26"/>
  <c r="P197" i="26"/>
  <c r="B197" i="26"/>
  <c r="A197" i="26"/>
  <c r="W196" i="26"/>
  <c r="V196" i="26"/>
  <c r="U196" i="26"/>
  <c r="S196" i="26"/>
  <c r="R196" i="26"/>
  <c r="P196" i="26"/>
  <c r="B196" i="26"/>
  <c r="A196" i="26"/>
  <c r="W195" i="26"/>
  <c r="V195" i="26"/>
  <c r="U195" i="26"/>
  <c r="T195" i="26"/>
  <c r="S195" i="26"/>
  <c r="Q195" i="26"/>
  <c r="P195" i="26"/>
  <c r="B195" i="26"/>
  <c r="R195" i="26" s="1"/>
  <c r="A195" i="26"/>
  <c r="U194" i="26"/>
  <c r="S194" i="26"/>
  <c r="R194" i="26"/>
  <c r="Q194" i="26"/>
  <c r="B194" i="26"/>
  <c r="P194" i="26" s="1"/>
  <c r="A194" i="26"/>
  <c r="V193" i="26"/>
  <c r="T193" i="26"/>
  <c r="Q193" i="26"/>
  <c r="B193" i="26"/>
  <c r="A193" i="26"/>
  <c r="W192" i="26"/>
  <c r="V192" i="26"/>
  <c r="T192" i="26"/>
  <c r="S192" i="26"/>
  <c r="R192" i="26"/>
  <c r="Q192" i="26"/>
  <c r="P192" i="26"/>
  <c r="B192" i="26"/>
  <c r="U192" i="26" s="1"/>
  <c r="A192" i="26"/>
  <c r="U191" i="26"/>
  <c r="R191" i="26"/>
  <c r="P191" i="26"/>
  <c r="B191" i="26"/>
  <c r="A191" i="26"/>
  <c r="V190" i="26"/>
  <c r="U190" i="26"/>
  <c r="T190" i="26"/>
  <c r="S190" i="26"/>
  <c r="R190" i="26"/>
  <c r="Q190" i="26"/>
  <c r="P190" i="26"/>
  <c r="AF184" i="26"/>
  <c r="AE184" i="26"/>
  <c r="AD184" i="26"/>
  <c r="AC184" i="26"/>
  <c r="AB184" i="26"/>
  <c r="AA184" i="26"/>
  <c r="Z184" i="26"/>
  <c r="Y184" i="26"/>
  <c r="B184" i="26"/>
  <c r="A184" i="26"/>
  <c r="AF183" i="26"/>
  <c r="AD183" i="26"/>
  <c r="AA183" i="26"/>
  <c r="Z183" i="26"/>
  <c r="B183" i="26"/>
  <c r="A183" i="26"/>
  <c r="AD182" i="26"/>
  <c r="AA182" i="26"/>
  <c r="Z182" i="26"/>
  <c r="Y182" i="26"/>
  <c r="B182" i="26"/>
  <c r="A182" i="26"/>
  <c r="AF181" i="26"/>
  <c r="AE181" i="26"/>
  <c r="AC181" i="26"/>
  <c r="Y181" i="26"/>
  <c r="B181" i="26"/>
  <c r="A181" i="26"/>
  <c r="B180" i="26"/>
  <c r="A180" i="26"/>
  <c r="AE179" i="26"/>
  <c r="AB179" i="26"/>
  <c r="AA179" i="26"/>
  <c r="B179" i="26"/>
  <c r="A179" i="26"/>
  <c r="AF178" i="26"/>
  <c r="AE178" i="26"/>
  <c r="AD178" i="26"/>
  <c r="AC178" i="26"/>
  <c r="AB178" i="26"/>
  <c r="AA178" i="26"/>
  <c r="Z178" i="26"/>
  <c r="Y178" i="26"/>
  <c r="B178" i="26"/>
  <c r="A178" i="26"/>
  <c r="AF177" i="26"/>
  <c r="AD177" i="26"/>
  <c r="AC177" i="26"/>
  <c r="AB177" i="26"/>
  <c r="Y177" i="26"/>
  <c r="B177" i="26"/>
  <c r="AE177" i="26" s="1"/>
  <c r="A177" i="26"/>
  <c r="AE176" i="26"/>
  <c r="B176" i="26"/>
  <c r="A176" i="26"/>
  <c r="AE175" i="26"/>
  <c r="AB175" i="26"/>
  <c r="Z175" i="26"/>
  <c r="Y175" i="26"/>
  <c r="B175" i="26"/>
  <c r="A175" i="26"/>
  <c r="AF174" i="26"/>
  <c r="AE174" i="26"/>
  <c r="AD174" i="26"/>
  <c r="Z174" i="26"/>
  <c r="B174" i="26"/>
  <c r="A174" i="26"/>
  <c r="AF173" i="26"/>
  <c r="AE173" i="26"/>
  <c r="AD173" i="26"/>
  <c r="AC173" i="26"/>
  <c r="AB173" i="26"/>
  <c r="AA173" i="26"/>
  <c r="Y173" i="26"/>
  <c r="B173" i="26"/>
  <c r="Z173" i="26" s="1"/>
  <c r="A173" i="26"/>
  <c r="AF172" i="26"/>
  <c r="AE172" i="26"/>
  <c r="AD172" i="26"/>
  <c r="AC172" i="26"/>
  <c r="AB172" i="26"/>
  <c r="AA172" i="26"/>
  <c r="Z172" i="26"/>
  <c r="Y172" i="26"/>
  <c r="B172" i="26"/>
  <c r="A172" i="26"/>
  <c r="AC171" i="26"/>
  <c r="AA171" i="26"/>
  <c r="Z171" i="26"/>
  <c r="Y171" i="26"/>
  <c r="B171" i="26"/>
  <c r="AE171" i="26" s="1"/>
  <c r="A171" i="26"/>
  <c r="AE170" i="26"/>
  <c r="AD170" i="26"/>
  <c r="AB170" i="26"/>
  <c r="Y170" i="26"/>
  <c r="B170" i="26"/>
  <c r="A170" i="26"/>
  <c r="AF169" i="26"/>
  <c r="AB169" i="26"/>
  <c r="Z169" i="26"/>
  <c r="B169" i="26"/>
  <c r="A169" i="26"/>
  <c r="AE168" i="26"/>
  <c r="AC168" i="26"/>
  <c r="AA168" i="26"/>
  <c r="Z168" i="26"/>
  <c r="B168" i="26"/>
  <c r="A168" i="26"/>
  <c r="AA167" i="26"/>
  <c r="B167" i="26"/>
  <c r="A167" i="26"/>
  <c r="AF166" i="26"/>
  <c r="AE166" i="26"/>
  <c r="AD166" i="26"/>
  <c r="AC166" i="26"/>
  <c r="AB166" i="26"/>
  <c r="AA166" i="26"/>
  <c r="Z166" i="26"/>
  <c r="Y166" i="26"/>
  <c r="B166" i="26"/>
  <c r="A166" i="26"/>
  <c r="Z165" i="26"/>
  <c r="B165" i="26"/>
  <c r="A165" i="26"/>
  <c r="AD164" i="26"/>
  <c r="AA164" i="26"/>
  <c r="Z164" i="26"/>
  <c r="Y164" i="26"/>
  <c r="B164" i="26"/>
  <c r="A164" i="26"/>
  <c r="AF163" i="26"/>
  <c r="AE163" i="26"/>
  <c r="AC163" i="26"/>
  <c r="Y163" i="26"/>
  <c r="B163" i="26"/>
  <c r="A163" i="26"/>
  <c r="AF162" i="26"/>
  <c r="AE162" i="26"/>
  <c r="B162" i="26"/>
  <c r="A162" i="26"/>
  <c r="AB161" i="26"/>
  <c r="B161" i="26"/>
  <c r="A161" i="26"/>
  <c r="AF160" i="26"/>
  <c r="AE160" i="26"/>
  <c r="AD160" i="26"/>
  <c r="AC160" i="26"/>
  <c r="AB160" i="26"/>
  <c r="AA160" i="26"/>
  <c r="Z160" i="26"/>
  <c r="Y160" i="26"/>
  <c r="B160" i="26"/>
  <c r="A160" i="26"/>
  <c r="AF159" i="26"/>
  <c r="AD159" i="26"/>
  <c r="AC159" i="26"/>
  <c r="AB159" i="26"/>
  <c r="Y159" i="26"/>
  <c r="B159" i="26"/>
  <c r="AE159" i="26" s="1"/>
  <c r="A159" i="26"/>
  <c r="AA158" i="26"/>
  <c r="Z158" i="26"/>
  <c r="B158" i="26"/>
  <c r="A158" i="26"/>
  <c r="AE157" i="26"/>
  <c r="AB157" i="26"/>
  <c r="Z157" i="26"/>
  <c r="Y157" i="26"/>
  <c r="B157" i="26"/>
  <c r="A157" i="26"/>
  <c r="AF156" i="26"/>
  <c r="AE156" i="26"/>
  <c r="AD156" i="26"/>
  <c r="Z156" i="26"/>
  <c r="B156" i="26"/>
  <c r="A156" i="26"/>
  <c r="AF155" i="26"/>
  <c r="AE155" i="26"/>
  <c r="AD155" i="26"/>
  <c r="AC155" i="26"/>
  <c r="AB155" i="26"/>
  <c r="AA155" i="26"/>
  <c r="Y155" i="26"/>
  <c r="B155" i="26"/>
  <c r="Z155" i="26" s="1"/>
  <c r="A155" i="26"/>
  <c r="AF154" i="26"/>
  <c r="AE154" i="26"/>
  <c r="AD154" i="26"/>
  <c r="AC154" i="26"/>
  <c r="AB154" i="26"/>
  <c r="AA154" i="26"/>
  <c r="Z154" i="26"/>
  <c r="Y154" i="26"/>
  <c r="B154" i="26"/>
  <c r="A154" i="26"/>
  <c r="AC153" i="26"/>
  <c r="AA153" i="26"/>
  <c r="Z153" i="26"/>
  <c r="Y153" i="26"/>
  <c r="B153" i="26"/>
  <c r="AE153" i="26" s="1"/>
  <c r="A153" i="26"/>
  <c r="AE152" i="26"/>
  <c r="AD152" i="26"/>
  <c r="AB152" i="26"/>
  <c r="Y152" i="26"/>
  <c r="B152" i="26"/>
  <c r="A152" i="26"/>
  <c r="AE151" i="26"/>
  <c r="AB151" i="26"/>
  <c r="Z151" i="26"/>
  <c r="B151" i="26"/>
  <c r="A151" i="26"/>
  <c r="AE150" i="26"/>
  <c r="AC150" i="26"/>
  <c r="AA150" i="26"/>
  <c r="Z150" i="26"/>
  <c r="B150" i="26"/>
  <c r="A150" i="26"/>
  <c r="AD149" i="26"/>
  <c r="B149" i="26"/>
  <c r="A149" i="26"/>
  <c r="AF148" i="26"/>
  <c r="AE148" i="26"/>
  <c r="AD148" i="26"/>
  <c r="AC148" i="26"/>
  <c r="AB148" i="26"/>
  <c r="AA148" i="26"/>
  <c r="Z148" i="26"/>
  <c r="Y148" i="26"/>
  <c r="B148" i="26"/>
  <c r="A148" i="26"/>
  <c r="AF147" i="26"/>
  <c r="AD147" i="26"/>
  <c r="AC147" i="26"/>
  <c r="AB147" i="26"/>
  <c r="AA147" i="26"/>
  <c r="Z147" i="26"/>
  <c r="B147" i="26"/>
  <c r="A147" i="26"/>
  <c r="B146" i="26"/>
  <c r="A146" i="26"/>
  <c r="AF145" i="26"/>
  <c r="AE145" i="26"/>
  <c r="AC145" i="26"/>
  <c r="Y145" i="26"/>
  <c r="B145" i="26"/>
  <c r="A145" i="26"/>
  <c r="AE144" i="26"/>
  <c r="AD144" i="26"/>
  <c r="AC144" i="26"/>
  <c r="AB144" i="26"/>
  <c r="AA144" i="26"/>
  <c r="Z144" i="26"/>
  <c r="Y144" i="26"/>
  <c r="W138" i="26"/>
  <c r="U138" i="26"/>
  <c r="B138" i="26"/>
  <c r="A138" i="26"/>
  <c r="B137" i="26"/>
  <c r="A137" i="26"/>
  <c r="Z136" i="26"/>
  <c r="X136" i="26"/>
  <c r="W136" i="26"/>
  <c r="U136" i="26"/>
  <c r="T136" i="26"/>
  <c r="S136" i="26"/>
  <c r="B136" i="26"/>
  <c r="A136" i="26"/>
  <c r="U135" i="26"/>
  <c r="B135" i="26"/>
  <c r="A135" i="26"/>
  <c r="Z134" i="26"/>
  <c r="Y134" i="26"/>
  <c r="X134" i="26"/>
  <c r="W134" i="26"/>
  <c r="V134" i="26"/>
  <c r="T134" i="26"/>
  <c r="S134" i="26"/>
  <c r="B134" i="26"/>
  <c r="U134" i="26" s="1"/>
  <c r="A134" i="26"/>
  <c r="Z133" i="26"/>
  <c r="Y133" i="26"/>
  <c r="X133" i="26"/>
  <c r="V133" i="26"/>
  <c r="B133" i="26"/>
  <c r="A133" i="26"/>
  <c r="B132" i="26"/>
  <c r="A132" i="26"/>
  <c r="Y131" i="26"/>
  <c r="V131" i="26"/>
  <c r="T131" i="26"/>
  <c r="S131" i="26"/>
  <c r="B131" i="26"/>
  <c r="A131" i="26"/>
  <c r="X130" i="26"/>
  <c r="B130" i="26"/>
  <c r="A130" i="26"/>
  <c r="Z129" i="26"/>
  <c r="Y129" i="26"/>
  <c r="X129" i="26"/>
  <c r="V129" i="26"/>
  <c r="U129" i="26"/>
  <c r="S129" i="26"/>
  <c r="B129" i="26"/>
  <c r="A129" i="26"/>
  <c r="Z128" i="26"/>
  <c r="Y128" i="26"/>
  <c r="X128" i="26"/>
  <c r="W128" i="26"/>
  <c r="V128" i="26"/>
  <c r="U128" i="26"/>
  <c r="T128" i="26"/>
  <c r="S128" i="26"/>
  <c r="B128" i="26"/>
  <c r="A128" i="26"/>
  <c r="V127" i="26"/>
  <c r="T127" i="26"/>
  <c r="B127" i="26"/>
  <c r="A127" i="26"/>
  <c r="Y126" i="26"/>
  <c r="W126" i="26"/>
  <c r="T126" i="26"/>
  <c r="B126" i="26"/>
  <c r="A126" i="26"/>
  <c r="Z125" i="26"/>
  <c r="Y125" i="26"/>
  <c r="W125" i="26"/>
  <c r="V125" i="26"/>
  <c r="U125" i="26"/>
  <c r="T125" i="26"/>
  <c r="S125" i="26"/>
  <c r="B125" i="26"/>
  <c r="X125" i="26" s="1"/>
  <c r="A125" i="26"/>
  <c r="B124" i="26"/>
  <c r="A124" i="26"/>
  <c r="S123" i="26"/>
  <c r="B123" i="26"/>
  <c r="A123" i="26"/>
  <c r="Z122" i="26"/>
  <c r="Y122" i="26"/>
  <c r="X122" i="26"/>
  <c r="W122" i="26"/>
  <c r="V122" i="26"/>
  <c r="T122" i="26"/>
  <c r="S122" i="26"/>
  <c r="B122" i="26"/>
  <c r="U122" i="26" s="1"/>
  <c r="A122" i="26"/>
  <c r="Z121" i="26"/>
  <c r="Y121" i="26"/>
  <c r="X121" i="26"/>
  <c r="W121" i="26"/>
  <c r="U121" i="26"/>
  <c r="T121" i="26"/>
  <c r="B121" i="26"/>
  <c r="S121" i="26" s="1"/>
  <c r="A121" i="26"/>
  <c r="X120" i="26"/>
  <c r="V120" i="26"/>
  <c r="U120" i="26"/>
  <c r="T120" i="26"/>
  <c r="S120" i="26"/>
  <c r="B120" i="26"/>
  <c r="A120" i="26"/>
  <c r="B119" i="26"/>
  <c r="A119" i="26"/>
  <c r="Z118" i="26"/>
  <c r="X118" i="26"/>
  <c r="W118" i="26"/>
  <c r="U118" i="26"/>
  <c r="T118" i="26"/>
  <c r="S118" i="26"/>
  <c r="B118" i="26"/>
  <c r="A118" i="26"/>
  <c r="V117" i="26"/>
  <c r="S117" i="26"/>
  <c r="B117" i="26"/>
  <c r="A117" i="26"/>
  <c r="Z116" i="26"/>
  <c r="Y116" i="26"/>
  <c r="X116" i="26"/>
  <c r="W116" i="26"/>
  <c r="V116" i="26"/>
  <c r="T116" i="26"/>
  <c r="S116" i="26"/>
  <c r="B116" i="26"/>
  <c r="U116" i="26" s="1"/>
  <c r="A116" i="26"/>
  <c r="Z115" i="26"/>
  <c r="Y115" i="26"/>
  <c r="X115" i="26"/>
  <c r="W115" i="26"/>
  <c r="T115" i="26"/>
  <c r="B115" i="26"/>
  <c r="S115" i="26" s="1"/>
  <c r="A115" i="26"/>
  <c r="Y114" i="26"/>
  <c r="X114" i="26"/>
  <c r="W114" i="26"/>
  <c r="V114" i="26"/>
  <c r="U114" i="26"/>
  <c r="T114" i="26"/>
  <c r="S114" i="26"/>
  <c r="B114" i="26"/>
  <c r="Z114" i="26" s="1"/>
  <c r="A114" i="26"/>
  <c r="B113" i="26"/>
  <c r="A113" i="26"/>
  <c r="U112" i="26"/>
  <c r="B112" i="26"/>
  <c r="A112" i="26"/>
  <c r="Z111" i="26"/>
  <c r="Y111" i="26"/>
  <c r="X111" i="26"/>
  <c r="V111" i="26"/>
  <c r="U111" i="26"/>
  <c r="S111" i="26"/>
  <c r="B111" i="26"/>
  <c r="A111" i="26"/>
  <c r="Z110" i="26"/>
  <c r="Y110" i="26"/>
  <c r="X110" i="26"/>
  <c r="W110" i="26"/>
  <c r="V110" i="26"/>
  <c r="T110" i="26"/>
  <c r="S110" i="26"/>
  <c r="B110" i="26"/>
  <c r="U110" i="26" s="1"/>
  <c r="A110" i="26"/>
  <c r="X109" i="26"/>
  <c r="V109" i="26"/>
  <c r="U109" i="26"/>
  <c r="T109" i="26"/>
  <c r="B109" i="26"/>
  <c r="A109" i="26"/>
  <c r="Y108" i="26"/>
  <c r="B108" i="26"/>
  <c r="A108" i="26"/>
  <c r="Z107" i="26"/>
  <c r="Y107" i="26"/>
  <c r="W107" i="26"/>
  <c r="V107" i="26"/>
  <c r="U107" i="26"/>
  <c r="T107" i="26"/>
  <c r="S107" i="26"/>
  <c r="B107" i="26"/>
  <c r="X107" i="26" s="1"/>
  <c r="A107" i="26"/>
  <c r="T106" i="26"/>
  <c r="B106" i="26"/>
  <c r="A106" i="26"/>
  <c r="Z105" i="26"/>
  <c r="V105" i="26"/>
  <c r="S105" i="26"/>
  <c r="B105" i="26"/>
  <c r="A105" i="26"/>
  <c r="Z104" i="26"/>
  <c r="Y104" i="26"/>
  <c r="X104" i="26"/>
  <c r="W104" i="26"/>
  <c r="V104" i="26"/>
  <c r="T104" i="26"/>
  <c r="S104" i="26"/>
  <c r="B104" i="26"/>
  <c r="U104" i="26" s="1"/>
  <c r="A104" i="26"/>
  <c r="B103" i="26"/>
  <c r="A103" i="26"/>
  <c r="X102" i="26"/>
  <c r="V102" i="26"/>
  <c r="U102" i="26"/>
  <c r="T102" i="26"/>
  <c r="S102" i="26"/>
  <c r="B102" i="26"/>
  <c r="A102" i="26"/>
  <c r="B101" i="26"/>
  <c r="A101" i="26"/>
  <c r="Z100" i="26"/>
  <c r="X100" i="26"/>
  <c r="W100" i="26"/>
  <c r="U100" i="26"/>
  <c r="T100" i="26"/>
  <c r="S100" i="26"/>
  <c r="B100" i="26"/>
  <c r="A100" i="26"/>
  <c r="B99" i="26"/>
  <c r="A99" i="26"/>
  <c r="Y98" i="26"/>
  <c r="X98" i="26"/>
  <c r="W98" i="26"/>
  <c r="V98" i="26"/>
  <c r="U98" i="26"/>
  <c r="T98" i="26"/>
  <c r="S98" i="26"/>
  <c r="AF92" i="26"/>
  <c r="AD92" i="26"/>
  <c r="AC92" i="26"/>
  <c r="AB92" i="26"/>
  <c r="AA92" i="26"/>
  <c r="Z92" i="26"/>
  <c r="Y92" i="26"/>
  <c r="B92" i="26"/>
  <c r="AE92" i="26" s="1"/>
  <c r="A92" i="26"/>
  <c r="B91" i="26"/>
  <c r="A91" i="26"/>
  <c r="AF90" i="26"/>
  <c r="B90" i="26"/>
  <c r="A90" i="26"/>
  <c r="AF89" i="26"/>
  <c r="AE89" i="26"/>
  <c r="AD89" i="26"/>
  <c r="AC89" i="26"/>
  <c r="AA89" i="26"/>
  <c r="Z89" i="26"/>
  <c r="B89" i="26"/>
  <c r="A89" i="26"/>
  <c r="B88" i="26"/>
  <c r="A88" i="26"/>
  <c r="AF87" i="26"/>
  <c r="AE87" i="26"/>
  <c r="AD87" i="26"/>
  <c r="AC87" i="26"/>
  <c r="AB87" i="26"/>
  <c r="AA87" i="26"/>
  <c r="Z87" i="26"/>
  <c r="Y87" i="26"/>
  <c r="B87" i="26"/>
  <c r="A87" i="26"/>
  <c r="AF86" i="26"/>
  <c r="AD86" i="26"/>
  <c r="AA86" i="26"/>
  <c r="Y86" i="26"/>
  <c r="B86" i="26"/>
  <c r="A86" i="26"/>
  <c r="AE85" i="26"/>
  <c r="AD85" i="26"/>
  <c r="AB85" i="26"/>
  <c r="AA85" i="26"/>
  <c r="Z85" i="26"/>
  <c r="Y85" i="26"/>
  <c r="B85" i="26"/>
  <c r="A85" i="26"/>
  <c r="AE84" i="26"/>
  <c r="AC84" i="26"/>
  <c r="AB84" i="26"/>
  <c r="Z84" i="26"/>
  <c r="Y84" i="26"/>
  <c r="B84" i="26"/>
  <c r="A84" i="26"/>
  <c r="Z83" i="26"/>
  <c r="B83" i="26"/>
  <c r="A83" i="26"/>
  <c r="AF82" i="26"/>
  <c r="AE82" i="26"/>
  <c r="AD82" i="26"/>
  <c r="AC82" i="26"/>
  <c r="AB82" i="26"/>
  <c r="B82" i="26"/>
  <c r="A82" i="26"/>
  <c r="AF81" i="26"/>
  <c r="AE81" i="26"/>
  <c r="AD81" i="26"/>
  <c r="AC81" i="26"/>
  <c r="AB81" i="26"/>
  <c r="AA81" i="26"/>
  <c r="Z81" i="26"/>
  <c r="Y81" i="26"/>
  <c r="B81" i="26"/>
  <c r="A81" i="26"/>
  <c r="Z80" i="26"/>
  <c r="B80" i="26"/>
  <c r="A80" i="26"/>
  <c r="AE79" i="26"/>
  <c r="AA79" i="26"/>
  <c r="Y79" i="26"/>
  <c r="B79" i="26"/>
  <c r="A79" i="26"/>
  <c r="AF78" i="26"/>
  <c r="AE78" i="26"/>
  <c r="AC78" i="26"/>
  <c r="AB78" i="26"/>
  <c r="Z78" i="26"/>
  <c r="Y78" i="26"/>
  <c r="B78" i="26"/>
  <c r="A78" i="26"/>
  <c r="AE77" i="26"/>
  <c r="AD77" i="26"/>
  <c r="B77" i="26"/>
  <c r="A77" i="26"/>
  <c r="AF76" i="26"/>
  <c r="AC76" i="26"/>
  <c r="Y76" i="26"/>
  <c r="B76" i="26"/>
  <c r="A76" i="26"/>
  <c r="AF75" i="26"/>
  <c r="AE75" i="26"/>
  <c r="AD75" i="26"/>
  <c r="AC75" i="26"/>
  <c r="AB75" i="26"/>
  <c r="AA75" i="26"/>
  <c r="Z75" i="26"/>
  <c r="Y75" i="26"/>
  <c r="B75" i="26"/>
  <c r="A75" i="26"/>
  <c r="AF74" i="26"/>
  <c r="AD74" i="26"/>
  <c r="AC74" i="26"/>
  <c r="AB74" i="26"/>
  <c r="AA74" i="26"/>
  <c r="Z74" i="26"/>
  <c r="Y74" i="26"/>
  <c r="B74" i="26"/>
  <c r="AE74" i="26" s="1"/>
  <c r="A74" i="26"/>
  <c r="AD73" i="26"/>
  <c r="AB73" i="26"/>
  <c r="AA73" i="26"/>
  <c r="Z73" i="26"/>
  <c r="Y73" i="26"/>
  <c r="B73" i="26"/>
  <c r="A73" i="26"/>
  <c r="AB72" i="26"/>
  <c r="Y72" i="26"/>
  <c r="B72" i="26"/>
  <c r="A72" i="26"/>
  <c r="AF71" i="26"/>
  <c r="AE71" i="26"/>
  <c r="AD71" i="26"/>
  <c r="AC71" i="26"/>
  <c r="AA71" i="26"/>
  <c r="Z71" i="26"/>
  <c r="B71" i="26"/>
  <c r="A71" i="26"/>
  <c r="AB70" i="26"/>
  <c r="AA70" i="26"/>
  <c r="Y70" i="26"/>
  <c r="B70" i="26"/>
  <c r="A70" i="26"/>
  <c r="AF69" i="26"/>
  <c r="AE69" i="26"/>
  <c r="AD69" i="26"/>
  <c r="AC69" i="26"/>
  <c r="AB69" i="26"/>
  <c r="AA69" i="26"/>
  <c r="Z69" i="26"/>
  <c r="Y69" i="26"/>
  <c r="B69" i="26"/>
  <c r="A69" i="26"/>
  <c r="AF68" i="26"/>
  <c r="AD68" i="26"/>
  <c r="AA68" i="26"/>
  <c r="Y68" i="26"/>
  <c r="B68" i="26"/>
  <c r="A68" i="26"/>
  <c r="AE67" i="26"/>
  <c r="AD67" i="26"/>
  <c r="AB67" i="26"/>
  <c r="AA67" i="26"/>
  <c r="Z67" i="26"/>
  <c r="Y67" i="26"/>
  <c r="B67" i="26"/>
  <c r="A67" i="26"/>
  <c r="AE66" i="26"/>
  <c r="AC66" i="26"/>
  <c r="Y66" i="26"/>
  <c r="B66" i="26"/>
  <c r="A66" i="26"/>
  <c r="AC65" i="26"/>
  <c r="Z65" i="26"/>
  <c r="B65" i="26"/>
  <c r="A65" i="26"/>
  <c r="AF64" i="26"/>
  <c r="AE64" i="26"/>
  <c r="AD64" i="26"/>
  <c r="AC64" i="26"/>
  <c r="AB64" i="26"/>
  <c r="Y64" i="26"/>
  <c r="B64" i="26"/>
  <c r="AA64" i="26" s="1"/>
  <c r="A64" i="26"/>
  <c r="AF63" i="26"/>
  <c r="AE63" i="26"/>
  <c r="AD63" i="26"/>
  <c r="AC63" i="26"/>
  <c r="AB63" i="26"/>
  <c r="AA63" i="26"/>
  <c r="Z63" i="26"/>
  <c r="Y63" i="26"/>
  <c r="B63" i="26"/>
  <c r="A63" i="26"/>
  <c r="AD62" i="26"/>
  <c r="AC62" i="26"/>
  <c r="AB62" i="26"/>
  <c r="AA62" i="26"/>
  <c r="Z62" i="26"/>
  <c r="Y62" i="26"/>
  <c r="B62" i="26"/>
  <c r="AF62" i="26" s="1"/>
  <c r="A62" i="26"/>
  <c r="Z61" i="26"/>
  <c r="B61" i="26"/>
  <c r="A61" i="26"/>
  <c r="AF60" i="26"/>
  <c r="AC60" i="26"/>
  <c r="AA60" i="26"/>
  <c r="B60" i="26"/>
  <c r="A60" i="26"/>
  <c r="AE59" i="26"/>
  <c r="AD59" i="26"/>
  <c r="AA59" i="26"/>
  <c r="Y59" i="26"/>
  <c r="B59" i="26"/>
  <c r="A59" i="26"/>
  <c r="AF58" i="26"/>
  <c r="AE58" i="26"/>
  <c r="AD58" i="26"/>
  <c r="AC58" i="26"/>
  <c r="AB58" i="26"/>
  <c r="Y58" i="26"/>
  <c r="B58" i="26"/>
  <c r="AA58" i="26" s="1"/>
  <c r="A58" i="26"/>
  <c r="AF57" i="26"/>
  <c r="AE57" i="26"/>
  <c r="AD57" i="26"/>
  <c r="AC57" i="26"/>
  <c r="AB57" i="26"/>
  <c r="AA57" i="26"/>
  <c r="Z57" i="26"/>
  <c r="B57" i="26"/>
  <c r="Y57" i="26" s="1"/>
  <c r="A57" i="26"/>
  <c r="AD56" i="26"/>
  <c r="AC56" i="26"/>
  <c r="AB56" i="26"/>
  <c r="AA56" i="26"/>
  <c r="Z56" i="26"/>
  <c r="Y56" i="26"/>
  <c r="B56" i="26"/>
  <c r="AF56" i="26" s="1"/>
  <c r="A56" i="26"/>
  <c r="B55" i="26"/>
  <c r="A55" i="26"/>
  <c r="AF54" i="26"/>
  <c r="AC54" i="26"/>
  <c r="AA54" i="26"/>
  <c r="B54" i="26"/>
  <c r="A54" i="26"/>
  <c r="B53" i="26"/>
  <c r="A53" i="26"/>
  <c r="AE52" i="26"/>
  <c r="AD52" i="26"/>
  <c r="AC52" i="26"/>
  <c r="AB52" i="26"/>
  <c r="AA52" i="26"/>
  <c r="Z52" i="26"/>
  <c r="Y52" i="26"/>
  <c r="J17" i="26"/>
  <c r="I17" i="26"/>
  <c r="H17" i="26"/>
  <c r="G17" i="26"/>
  <c r="K17" i="26" s="1"/>
  <c r="F17" i="26"/>
  <c r="J16" i="26"/>
  <c r="I16" i="26"/>
  <c r="H16" i="26"/>
  <c r="K16" i="26" s="1"/>
  <c r="G16" i="26"/>
  <c r="F16" i="26"/>
  <c r="J15" i="26"/>
  <c r="I15" i="26"/>
  <c r="H15" i="26"/>
  <c r="G15" i="26"/>
  <c r="K15" i="26" s="1"/>
  <c r="F15" i="26"/>
  <c r="J14" i="26"/>
  <c r="I14" i="26"/>
  <c r="H14" i="26"/>
  <c r="K14" i="26" s="1"/>
  <c r="G14" i="26"/>
  <c r="F14" i="26"/>
  <c r="K13" i="26"/>
  <c r="J13" i="26"/>
  <c r="I13" i="26"/>
  <c r="H13" i="26"/>
  <c r="G13" i="26"/>
  <c r="F13" i="26"/>
  <c r="J12" i="26"/>
  <c r="I12" i="26"/>
  <c r="H12" i="26"/>
  <c r="K12" i="26" s="1"/>
  <c r="G12" i="26"/>
  <c r="F12" i="26"/>
  <c r="K11" i="26"/>
  <c r="J11" i="26"/>
  <c r="I11" i="26"/>
  <c r="H11" i="26"/>
  <c r="G11" i="26"/>
  <c r="F11" i="26"/>
  <c r="E7" i="26"/>
  <c r="D7" i="26"/>
  <c r="C7" i="26"/>
  <c r="B7" i="26"/>
  <c r="A7" i="26"/>
  <c r="A5" i="26"/>
  <c r="J2" i="26"/>
  <c r="H2" i="26"/>
  <c r="F2" i="26"/>
  <c r="D2" i="26"/>
  <c r="B2" i="26"/>
  <c r="A1" i="26"/>
  <c r="S230" i="25"/>
  <c r="P230" i="25"/>
  <c r="B230" i="25"/>
  <c r="A230" i="25"/>
  <c r="W229" i="25"/>
  <c r="T229" i="25"/>
  <c r="Q229" i="25"/>
  <c r="P229" i="25"/>
  <c r="B229" i="25"/>
  <c r="A229" i="25"/>
  <c r="W228" i="25"/>
  <c r="V228" i="25"/>
  <c r="U228" i="25"/>
  <c r="R228" i="25"/>
  <c r="P228" i="25"/>
  <c r="B228" i="25"/>
  <c r="A228" i="25"/>
  <c r="W227" i="25"/>
  <c r="V227" i="25"/>
  <c r="U227" i="25"/>
  <c r="T227" i="25"/>
  <c r="S227" i="25"/>
  <c r="P227" i="25"/>
  <c r="B227" i="25"/>
  <c r="R227" i="25" s="1"/>
  <c r="A227" i="25"/>
  <c r="W226" i="25"/>
  <c r="V226" i="25"/>
  <c r="U226" i="25"/>
  <c r="T226" i="25"/>
  <c r="S226" i="25"/>
  <c r="R226" i="25"/>
  <c r="Q226" i="25"/>
  <c r="B226" i="25"/>
  <c r="P226" i="25" s="1"/>
  <c r="A226" i="25"/>
  <c r="V225" i="25"/>
  <c r="U225" i="25"/>
  <c r="T225" i="25"/>
  <c r="S225" i="25"/>
  <c r="R225" i="25"/>
  <c r="Q225" i="25"/>
  <c r="P225" i="25"/>
  <c r="B225" i="25"/>
  <c r="W225" i="25" s="1"/>
  <c r="A225" i="25"/>
  <c r="R224" i="25"/>
  <c r="B224" i="25"/>
  <c r="A224" i="25"/>
  <c r="W223" i="25"/>
  <c r="T223" i="25"/>
  <c r="Q223" i="25"/>
  <c r="P223" i="25"/>
  <c r="B223" i="25"/>
  <c r="A223" i="25"/>
  <c r="W222" i="25"/>
  <c r="V222" i="25"/>
  <c r="U222" i="25"/>
  <c r="R222" i="25"/>
  <c r="P222" i="25"/>
  <c r="B222" i="25"/>
  <c r="A222" i="25"/>
  <c r="W221" i="25"/>
  <c r="V221" i="25"/>
  <c r="U221" i="25"/>
  <c r="T221" i="25"/>
  <c r="S221" i="25"/>
  <c r="P221" i="25"/>
  <c r="B221" i="25"/>
  <c r="R221" i="25" s="1"/>
  <c r="A221" i="25"/>
  <c r="W220" i="25"/>
  <c r="V220" i="25"/>
  <c r="U220" i="25"/>
  <c r="T220" i="25"/>
  <c r="S220" i="25"/>
  <c r="R220" i="25"/>
  <c r="Q220" i="25"/>
  <c r="B220" i="25"/>
  <c r="P220" i="25" s="1"/>
  <c r="A220" i="25"/>
  <c r="V219" i="25"/>
  <c r="U219" i="25"/>
  <c r="T219" i="25"/>
  <c r="S219" i="25"/>
  <c r="R219" i="25"/>
  <c r="Q219" i="25"/>
  <c r="P219" i="25"/>
  <c r="B219" i="25"/>
  <c r="W219" i="25" s="1"/>
  <c r="A219" i="25"/>
  <c r="B218" i="25"/>
  <c r="A218" i="25"/>
  <c r="W217" i="25"/>
  <c r="T217" i="25"/>
  <c r="Q217" i="25"/>
  <c r="P217" i="25"/>
  <c r="B217" i="25"/>
  <c r="A217" i="25"/>
  <c r="W216" i="25"/>
  <c r="V216" i="25"/>
  <c r="U216" i="25"/>
  <c r="R216" i="25"/>
  <c r="P216" i="25"/>
  <c r="B216" i="25"/>
  <c r="A216" i="25"/>
  <c r="W215" i="25"/>
  <c r="V215" i="25"/>
  <c r="U215" i="25"/>
  <c r="T215" i="25"/>
  <c r="S215" i="25"/>
  <c r="P215" i="25"/>
  <c r="B215" i="25"/>
  <c r="R215" i="25" s="1"/>
  <c r="A215" i="25"/>
  <c r="W214" i="25"/>
  <c r="V214" i="25"/>
  <c r="U214" i="25"/>
  <c r="T214" i="25"/>
  <c r="S214" i="25"/>
  <c r="R214" i="25"/>
  <c r="Q214" i="25"/>
  <c r="B214" i="25"/>
  <c r="P214" i="25" s="1"/>
  <c r="A214" i="25"/>
  <c r="V213" i="25"/>
  <c r="U213" i="25"/>
  <c r="T213" i="25"/>
  <c r="S213" i="25"/>
  <c r="R213" i="25"/>
  <c r="Q213" i="25"/>
  <c r="P213" i="25"/>
  <c r="B213" i="25"/>
  <c r="W213" i="25" s="1"/>
  <c r="A213" i="25"/>
  <c r="S212" i="25"/>
  <c r="R212" i="25"/>
  <c r="Q212" i="25"/>
  <c r="P212" i="25"/>
  <c r="B212" i="25"/>
  <c r="A212" i="25"/>
  <c r="W211" i="25"/>
  <c r="T211" i="25"/>
  <c r="Q211" i="25"/>
  <c r="P211" i="25"/>
  <c r="B211" i="25"/>
  <c r="A211" i="25"/>
  <c r="W210" i="25"/>
  <c r="V210" i="25"/>
  <c r="U210" i="25"/>
  <c r="R210" i="25"/>
  <c r="P210" i="25"/>
  <c r="B210" i="25"/>
  <c r="A210" i="25"/>
  <c r="W209" i="25"/>
  <c r="V209" i="25"/>
  <c r="U209" i="25"/>
  <c r="T209" i="25"/>
  <c r="S209" i="25"/>
  <c r="P209" i="25"/>
  <c r="B209" i="25"/>
  <c r="R209" i="25" s="1"/>
  <c r="A209" i="25"/>
  <c r="W208" i="25"/>
  <c r="V208" i="25"/>
  <c r="U208" i="25"/>
  <c r="T208" i="25"/>
  <c r="S208" i="25"/>
  <c r="R208" i="25"/>
  <c r="Q208" i="25"/>
  <c r="B208" i="25"/>
  <c r="P208" i="25" s="1"/>
  <c r="A208" i="25"/>
  <c r="V207" i="25"/>
  <c r="U207" i="25"/>
  <c r="T207" i="25"/>
  <c r="S207" i="25"/>
  <c r="R207" i="25"/>
  <c r="Q207" i="25"/>
  <c r="P207" i="25"/>
  <c r="B207" i="25"/>
  <c r="W207" i="25" s="1"/>
  <c r="A207" i="25"/>
  <c r="B206" i="25"/>
  <c r="A206" i="25"/>
  <c r="W205" i="25"/>
  <c r="T205" i="25"/>
  <c r="Q205" i="25"/>
  <c r="P205" i="25"/>
  <c r="B205" i="25"/>
  <c r="A205" i="25"/>
  <c r="W204" i="25"/>
  <c r="V204" i="25"/>
  <c r="U204" i="25"/>
  <c r="R204" i="25"/>
  <c r="P204" i="25"/>
  <c r="B204" i="25"/>
  <c r="A204" i="25"/>
  <c r="W203" i="25"/>
  <c r="V203" i="25"/>
  <c r="U203" i="25"/>
  <c r="T203" i="25"/>
  <c r="S203" i="25"/>
  <c r="P203" i="25"/>
  <c r="B203" i="25"/>
  <c r="R203" i="25" s="1"/>
  <c r="A203" i="25"/>
  <c r="W202" i="25"/>
  <c r="V202" i="25"/>
  <c r="U202" i="25"/>
  <c r="T202" i="25"/>
  <c r="S202" i="25"/>
  <c r="R202" i="25"/>
  <c r="Q202" i="25"/>
  <c r="B202" i="25"/>
  <c r="P202" i="25" s="1"/>
  <c r="A202" i="25"/>
  <c r="V201" i="25"/>
  <c r="U201" i="25"/>
  <c r="T201" i="25"/>
  <c r="S201" i="25"/>
  <c r="R201" i="25"/>
  <c r="Q201" i="25"/>
  <c r="P201" i="25"/>
  <c r="B201" i="25"/>
  <c r="W201" i="25" s="1"/>
  <c r="A201" i="25"/>
  <c r="B200" i="25"/>
  <c r="A200" i="25"/>
  <c r="W199" i="25"/>
  <c r="T199" i="25"/>
  <c r="Q199" i="25"/>
  <c r="P199" i="25"/>
  <c r="B199" i="25"/>
  <c r="A199" i="25"/>
  <c r="W198" i="25"/>
  <c r="V198" i="25"/>
  <c r="U198" i="25"/>
  <c r="R198" i="25"/>
  <c r="P198" i="25"/>
  <c r="B198" i="25"/>
  <c r="A198" i="25"/>
  <c r="W197" i="25"/>
  <c r="V197" i="25"/>
  <c r="U197" i="25"/>
  <c r="T197" i="25"/>
  <c r="S197" i="25"/>
  <c r="P197" i="25"/>
  <c r="B197" i="25"/>
  <c r="R197" i="25" s="1"/>
  <c r="A197" i="25"/>
  <c r="W196" i="25"/>
  <c r="V196" i="25"/>
  <c r="U196" i="25"/>
  <c r="T196" i="25"/>
  <c r="S196" i="25"/>
  <c r="R196" i="25"/>
  <c r="Q196" i="25"/>
  <c r="B196" i="25"/>
  <c r="P196" i="25" s="1"/>
  <c r="A196" i="25"/>
  <c r="W195" i="25"/>
  <c r="V195" i="25"/>
  <c r="U195" i="25"/>
  <c r="T195" i="25"/>
  <c r="S195" i="25"/>
  <c r="R195" i="25"/>
  <c r="B195" i="25"/>
  <c r="Q195" i="25" s="1"/>
  <c r="A195" i="25"/>
  <c r="U194" i="25"/>
  <c r="T194" i="25"/>
  <c r="S194" i="25"/>
  <c r="R194" i="25"/>
  <c r="Q194" i="25"/>
  <c r="P194" i="25"/>
  <c r="B194" i="25"/>
  <c r="W194" i="25" s="1"/>
  <c r="A194" i="25"/>
  <c r="Q193" i="25"/>
  <c r="B193" i="25"/>
  <c r="A193" i="25"/>
  <c r="W192" i="25"/>
  <c r="V192" i="25"/>
  <c r="U192" i="25"/>
  <c r="P192" i="25"/>
  <c r="B192" i="25"/>
  <c r="A192" i="25"/>
  <c r="W191" i="25"/>
  <c r="V191" i="25"/>
  <c r="U191" i="25"/>
  <c r="T191" i="25"/>
  <c r="S191" i="25"/>
  <c r="P191" i="25"/>
  <c r="B191" i="25"/>
  <c r="A191" i="25"/>
  <c r="V190" i="25"/>
  <c r="U190" i="25"/>
  <c r="T190" i="25"/>
  <c r="S190" i="25"/>
  <c r="R190" i="25"/>
  <c r="Q190" i="25"/>
  <c r="P190" i="25"/>
  <c r="AD184" i="25"/>
  <c r="AC184" i="25"/>
  <c r="AB184" i="25"/>
  <c r="AA184" i="25"/>
  <c r="B184" i="25"/>
  <c r="A184" i="25"/>
  <c r="AA183" i="25"/>
  <c r="Z183" i="25"/>
  <c r="B183" i="25"/>
  <c r="A183" i="25"/>
  <c r="B182" i="25"/>
  <c r="A182" i="25"/>
  <c r="AF181" i="25"/>
  <c r="AE181" i="25"/>
  <c r="AD181" i="25"/>
  <c r="AC181" i="25"/>
  <c r="B181" i="25"/>
  <c r="A181" i="25"/>
  <c r="AF180" i="25"/>
  <c r="AE180" i="25"/>
  <c r="AD180" i="25"/>
  <c r="AC180" i="25"/>
  <c r="AB180" i="25"/>
  <c r="AA180" i="25"/>
  <c r="Z180" i="25"/>
  <c r="Y180" i="25"/>
  <c r="B180" i="25"/>
  <c r="A180" i="25"/>
  <c r="AC179" i="25"/>
  <c r="AB179" i="25"/>
  <c r="Z179" i="25"/>
  <c r="B179" i="25"/>
  <c r="A179" i="25"/>
  <c r="B178" i="25"/>
  <c r="A178" i="25"/>
  <c r="AF177" i="25"/>
  <c r="AE177" i="25"/>
  <c r="AB177" i="25"/>
  <c r="AA177" i="25"/>
  <c r="B177" i="25"/>
  <c r="A177" i="25"/>
  <c r="AE176" i="25"/>
  <c r="AD176" i="25"/>
  <c r="AC176" i="25"/>
  <c r="Z176" i="25"/>
  <c r="Y176" i="25"/>
  <c r="B176" i="25"/>
  <c r="A176" i="25"/>
  <c r="B175" i="25"/>
  <c r="A175" i="25"/>
  <c r="AF174" i="25"/>
  <c r="AE174" i="25"/>
  <c r="AD174" i="25"/>
  <c r="AC174" i="25"/>
  <c r="AB174" i="25"/>
  <c r="AA174" i="25"/>
  <c r="Z174" i="25"/>
  <c r="Y174" i="25"/>
  <c r="B174" i="25"/>
  <c r="A174" i="25"/>
  <c r="AF173" i="25"/>
  <c r="AE173" i="25"/>
  <c r="AD173" i="25"/>
  <c r="AC173" i="25"/>
  <c r="AB173" i="25"/>
  <c r="AA173" i="25"/>
  <c r="B173" i="25"/>
  <c r="Z173" i="25" s="1"/>
  <c r="A173" i="25"/>
  <c r="B172" i="25"/>
  <c r="A172" i="25"/>
  <c r="Y171" i="25"/>
  <c r="B171" i="25"/>
  <c r="A171" i="25"/>
  <c r="AF170" i="25"/>
  <c r="AE170" i="25"/>
  <c r="AD170" i="25"/>
  <c r="AC170" i="25"/>
  <c r="B170" i="25"/>
  <c r="A170" i="25"/>
  <c r="AD169" i="25"/>
  <c r="AB169" i="25"/>
  <c r="B169" i="25"/>
  <c r="A169" i="25"/>
  <c r="AF168" i="25"/>
  <c r="AE168" i="25"/>
  <c r="AD168" i="25"/>
  <c r="AC168" i="25"/>
  <c r="AB168" i="25"/>
  <c r="AA168" i="25"/>
  <c r="Z168" i="25"/>
  <c r="Y168" i="25"/>
  <c r="B168" i="25"/>
  <c r="A168" i="25"/>
  <c r="AF167" i="25"/>
  <c r="Y167" i="25"/>
  <c r="B167" i="25"/>
  <c r="A167" i="25"/>
  <c r="AD166" i="25"/>
  <c r="AC166" i="25"/>
  <c r="AB166" i="25"/>
  <c r="AA166" i="25"/>
  <c r="B166" i="25"/>
  <c r="A166" i="25"/>
  <c r="AE165" i="25"/>
  <c r="AA165" i="25"/>
  <c r="Z165" i="25"/>
  <c r="B165" i="25"/>
  <c r="AB165" i="25" s="1"/>
  <c r="A165" i="25"/>
  <c r="B164" i="25"/>
  <c r="A164" i="25"/>
  <c r="AF163" i="25"/>
  <c r="AE163" i="25"/>
  <c r="AD163" i="25"/>
  <c r="AC163" i="25"/>
  <c r="B163" i="25"/>
  <c r="A163" i="25"/>
  <c r="AF162" i="25"/>
  <c r="AE162" i="25"/>
  <c r="AD162" i="25"/>
  <c r="AC162" i="25"/>
  <c r="AB162" i="25"/>
  <c r="AA162" i="25"/>
  <c r="Z162" i="25"/>
  <c r="Y162" i="25"/>
  <c r="B162" i="25"/>
  <c r="A162" i="25"/>
  <c r="AC161" i="25"/>
  <c r="AB161" i="25"/>
  <c r="Z161" i="25"/>
  <c r="B161" i="25"/>
  <c r="A161" i="25"/>
  <c r="B160" i="25"/>
  <c r="A160" i="25"/>
  <c r="AF159" i="25"/>
  <c r="AE159" i="25"/>
  <c r="AB159" i="25"/>
  <c r="AA159" i="25"/>
  <c r="B159" i="25"/>
  <c r="A159" i="25"/>
  <c r="Z158" i="25"/>
  <c r="Y158" i="25"/>
  <c r="B158" i="25"/>
  <c r="A158" i="25"/>
  <c r="B157" i="25"/>
  <c r="A157" i="25"/>
  <c r="AF156" i="25"/>
  <c r="AE156" i="25"/>
  <c r="AD156" i="25"/>
  <c r="AC156" i="25"/>
  <c r="AB156" i="25"/>
  <c r="AA156" i="25"/>
  <c r="Z156" i="25"/>
  <c r="Y156" i="25"/>
  <c r="B156" i="25"/>
  <c r="A156" i="25"/>
  <c r="AF155" i="25"/>
  <c r="AE155" i="25"/>
  <c r="AD155" i="25"/>
  <c r="AC155" i="25"/>
  <c r="AB155" i="25"/>
  <c r="AA155" i="25"/>
  <c r="B155" i="25"/>
  <c r="Z155" i="25" s="1"/>
  <c r="A155" i="25"/>
  <c r="AC154" i="25"/>
  <c r="AB154" i="25"/>
  <c r="B154" i="25"/>
  <c r="A154" i="25"/>
  <c r="Y153" i="25"/>
  <c r="B153" i="25"/>
  <c r="A153" i="25"/>
  <c r="AF152" i="25"/>
  <c r="AE152" i="25"/>
  <c r="AD152" i="25"/>
  <c r="AC152" i="25"/>
  <c r="B152" i="25"/>
  <c r="A152" i="25"/>
  <c r="AE151" i="25"/>
  <c r="AD151" i="25"/>
  <c r="AB151" i="25"/>
  <c r="B151" i="25"/>
  <c r="A151" i="25"/>
  <c r="AF150" i="25"/>
  <c r="AE150" i="25"/>
  <c r="AD150" i="25"/>
  <c r="AC150" i="25"/>
  <c r="AB150" i="25"/>
  <c r="AA150" i="25"/>
  <c r="Z150" i="25"/>
  <c r="Y150" i="25"/>
  <c r="B150" i="25"/>
  <c r="A150" i="25"/>
  <c r="B149" i="25"/>
  <c r="A149" i="25"/>
  <c r="AD148" i="25"/>
  <c r="AC148" i="25"/>
  <c r="AB148" i="25"/>
  <c r="AA148" i="25"/>
  <c r="B148" i="25"/>
  <c r="A148" i="25"/>
  <c r="Y147" i="25"/>
  <c r="B147" i="25"/>
  <c r="A147" i="25"/>
  <c r="Y146" i="25"/>
  <c r="B146" i="25"/>
  <c r="A146" i="25"/>
  <c r="AF145" i="25"/>
  <c r="AE145" i="25"/>
  <c r="AD145" i="25"/>
  <c r="AC145" i="25"/>
  <c r="B145" i="25"/>
  <c r="A145" i="25"/>
  <c r="AE144" i="25"/>
  <c r="AD144" i="25"/>
  <c r="AC144" i="25"/>
  <c r="AB144" i="25"/>
  <c r="AA144" i="25"/>
  <c r="Z144" i="25"/>
  <c r="Y144" i="25"/>
  <c r="B138" i="25"/>
  <c r="A138" i="25"/>
  <c r="Z137" i="25"/>
  <c r="Y137" i="25"/>
  <c r="X137" i="25"/>
  <c r="U137" i="25"/>
  <c r="T137" i="25"/>
  <c r="S137" i="25"/>
  <c r="B137" i="25"/>
  <c r="A137" i="25"/>
  <c r="X136" i="25"/>
  <c r="W136" i="25"/>
  <c r="V136" i="25"/>
  <c r="S136" i="25"/>
  <c r="B136" i="25"/>
  <c r="A136" i="25"/>
  <c r="Z135" i="25"/>
  <c r="Y135" i="25"/>
  <c r="X135" i="25"/>
  <c r="W135" i="25"/>
  <c r="V135" i="25"/>
  <c r="U135" i="25"/>
  <c r="T135" i="25"/>
  <c r="B135" i="25"/>
  <c r="S135" i="25" s="1"/>
  <c r="A135" i="25"/>
  <c r="Z134" i="25"/>
  <c r="Y134" i="25"/>
  <c r="X134" i="25"/>
  <c r="W134" i="25"/>
  <c r="V134" i="25"/>
  <c r="T134" i="25"/>
  <c r="S134" i="25"/>
  <c r="B134" i="25"/>
  <c r="U134" i="25" s="1"/>
  <c r="A134" i="25"/>
  <c r="Y133" i="25"/>
  <c r="X133" i="25"/>
  <c r="W133" i="25"/>
  <c r="V133" i="25"/>
  <c r="U133" i="25"/>
  <c r="T133" i="25"/>
  <c r="S133" i="25"/>
  <c r="B133" i="25"/>
  <c r="Z133" i="25" s="1"/>
  <c r="A133" i="25"/>
  <c r="V132" i="25"/>
  <c r="U132" i="25"/>
  <c r="B132" i="25"/>
  <c r="A132" i="25"/>
  <c r="S131" i="25"/>
  <c r="B131" i="25"/>
  <c r="A131" i="25"/>
  <c r="Z130" i="25"/>
  <c r="Y130" i="25"/>
  <c r="X130" i="25"/>
  <c r="W130" i="25"/>
  <c r="V130" i="25"/>
  <c r="T130" i="25"/>
  <c r="S130" i="25"/>
  <c r="B130" i="25"/>
  <c r="U130" i="25" s="1"/>
  <c r="A130" i="25"/>
  <c r="Z129" i="25"/>
  <c r="Y129" i="25"/>
  <c r="X129" i="25"/>
  <c r="W129" i="25"/>
  <c r="V129" i="25"/>
  <c r="U129" i="25"/>
  <c r="B129" i="25"/>
  <c r="T129" i="25" s="1"/>
  <c r="A129" i="25"/>
  <c r="Y128" i="25"/>
  <c r="X128" i="25"/>
  <c r="W128" i="25"/>
  <c r="V128" i="25"/>
  <c r="U128" i="25"/>
  <c r="T128" i="25"/>
  <c r="S128" i="25"/>
  <c r="B128" i="25"/>
  <c r="Z128" i="25" s="1"/>
  <c r="A128" i="25"/>
  <c r="W127" i="25"/>
  <c r="V127" i="25"/>
  <c r="U127" i="25"/>
  <c r="S127" i="25"/>
  <c r="B127" i="25"/>
  <c r="A127" i="25"/>
  <c r="U126" i="25"/>
  <c r="B126" i="25"/>
  <c r="A126" i="25"/>
  <c r="S125" i="25"/>
  <c r="B125" i="25"/>
  <c r="A125" i="25"/>
  <c r="Z124" i="25"/>
  <c r="Y124" i="25"/>
  <c r="X124" i="25"/>
  <c r="W124" i="25"/>
  <c r="V124" i="25"/>
  <c r="T124" i="25"/>
  <c r="S124" i="25"/>
  <c r="B124" i="25"/>
  <c r="U124" i="25" s="1"/>
  <c r="A124" i="25"/>
  <c r="Z123" i="25"/>
  <c r="Y123" i="25"/>
  <c r="X123" i="25"/>
  <c r="W123" i="25"/>
  <c r="V123" i="25"/>
  <c r="U123" i="25"/>
  <c r="B123" i="25"/>
  <c r="T123" i="25" s="1"/>
  <c r="A123" i="25"/>
  <c r="Y122" i="25"/>
  <c r="X122" i="25"/>
  <c r="W122" i="25"/>
  <c r="V122" i="25"/>
  <c r="U122" i="25"/>
  <c r="T122" i="25"/>
  <c r="S122" i="25"/>
  <c r="B122" i="25"/>
  <c r="Z122" i="25" s="1"/>
  <c r="A122" i="25"/>
  <c r="B121" i="25"/>
  <c r="A121" i="25"/>
  <c r="U120" i="25"/>
  <c r="B120" i="25"/>
  <c r="A120" i="25"/>
  <c r="Z119" i="25"/>
  <c r="S119" i="25"/>
  <c r="B119" i="25"/>
  <c r="A119" i="25"/>
  <c r="Z118" i="25"/>
  <c r="Y118" i="25"/>
  <c r="X118" i="25"/>
  <c r="W118" i="25"/>
  <c r="V118" i="25"/>
  <c r="T118" i="25"/>
  <c r="S118" i="25"/>
  <c r="B118" i="25"/>
  <c r="U118" i="25" s="1"/>
  <c r="A118" i="25"/>
  <c r="Z117" i="25"/>
  <c r="Y117" i="25"/>
  <c r="X117" i="25"/>
  <c r="W117" i="25"/>
  <c r="V117" i="25"/>
  <c r="U117" i="25"/>
  <c r="B117" i="25"/>
  <c r="T117" i="25" s="1"/>
  <c r="A117" i="25"/>
  <c r="Y116" i="25"/>
  <c r="X116" i="25"/>
  <c r="W116" i="25"/>
  <c r="V116" i="25"/>
  <c r="U116" i="25"/>
  <c r="T116" i="25"/>
  <c r="S116" i="25"/>
  <c r="B116" i="25"/>
  <c r="Z116" i="25" s="1"/>
  <c r="A116" i="25"/>
  <c r="W115" i="25"/>
  <c r="U115" i="25"/>
  <c r="B115" i="25"/>
  <c r="A115" i="25"/>
  <c r="U114" i="25"/>
  <c r="B114" i="25"/>
  <c r="A114" i="25"/>
  <c r="B113" i="25"/>
  <c r="A113" i="25"/>
  <c r="Z112" i="25"/>
  <c r="Y112" i="25"/>
  <c r="X112" i="25"/>
  <c r="W112" i="25"/>
  <c r="V112" i="25"/>
  <c r="T112" i="25"/>
  <c r="S112" i="25"/>
  <c r="B112" i="25"/>
  <c r="U112" i="25" s="1"/>
  <c r="A112" i="25"/>
  <c r="Z111" i="25"/>
  <c r="Y111" i="25"/>
  <c r="X111" i="25"/>
  <c r="W111" i="25"/>
  <c r="V111" i="25"/>
  <c r="U111" i="25"/>
  <c r="B111" i="25"/>
  <c r="T111" i="25" s="1"/>
  <c r="A111" i="25"/>
  <c r="Y110" i="25"/>
  <c r="X110" i="25"/>
  <c r="W110" i="25"/>
  <c r="V110" i="25"/>
  <c r="U110" i="25"/>
  <c r="T110" i="25"/>
  <c r="S110" i="25"/>
  <c r="B110" i="25"/>
  <c r="Z110" i="25" s="1"/>
  <c r="A110" i="25"/>
  <c r="B109" i="25"/>
  <c r="A109" i="25"/>
  <c r="B108" i="25"/>
  <c r="A108" i="25"/>
  <c r="Z107" i="25"/>
  <c r="S107" i="25"/>
  <c r="B107" i="25"/>
  <c r="A107" i="25"/>
  <c r="Z106" i="25"/>
  <c r="Y106" i="25"/>
  <c r="X106" i="25"/>
  <c r="W106" i="25"/>
  <c r="V106" i="25"/>
  <c r="T106" i="25"/>
  <c r="S106" i="25"/>
  <c r="B106" i="25"/>
  <c r="U106" i="25" s="1"/>
  <c r="A106" i="25"/>
  <c r="Z105" i="25"/>
  <c r="Y105" i="25"/>
  <c r="X105" i="25"/>
  <c r="W105" i="25"/>
  <c r="V105" i="25"/>
  <c r="U105" i="25"/>
  <c r="B105" i="25"/>
  <c r="T105" i="25" s="1"/>
  <c r="A105" i="25"/>
  <c r="Y104" i="25"/>
  <c r="X104" i="25"/>
  <c r="W104" i="25"/>
  <c r="V104" i="25"/>
  <c r="U104" i="25"/>
  <c r="T104" i="25"/>
  <c r="S104" i="25"/>
  <c r="B104" i="25"/>
  <c r="Z104" i="25" s="1"/>
  <c r="A104" i="25"/>
  <c r="U103" i="25"/>
  <c r="B103" i="25"/>
  <c r="A103" i="25"/>
  <c r="U102" i="25"/>
  <c r="B102" i="25"/>
  <c r="A102" i="25"/>
  <c r="Z101" i="25"/>
  <c r="B101" i="25"/>
  <c r="A101" i="25"/>
  <c r="Z100" i="25"/>
  <c r="Y100" i="25"/>
  <c r="X100" i="25"/>
  <c r="W100" i="25"/>
  <c r="V100" i="25"/>
  <c r="T100" i="25"/>
  <c r="S100" i="25"/>
  <c r="B100" i="25"/>
  <c r="U100" i="25" s="1"/>
  <c r="A100" i="25"/>
  <c r="Z99" i="25"/>
  <c r="Y99" i="25"/>
  <c r="X99" i="25"/>
  <c r="W99" i="25"/>
  <c r="V99" i="25"/>
  <c r="U99" i="25"/>
  <c r="B99" i="25"/>
  <c r="T99" i="25" s="1"/>
  <c r="A99" i="25"/>
  <c r="Y98" i="25"/>
  <c r="X98" i="25"/>
  <c r="W98" i="25"/>
  <c r="V98" i="25"/>
  <c r="U98" i="25"/>
  <c r="T98" i="25"/>
  <c r="S98" i="25"/>
  <c r="Z92" i="25"/>
  <c r="Y92" i="25"/>
  <c r="B92" i="25"/>
  <c r="A92" i="25"/>
  <c r="B91" i="25"/>
  <c r="A91" i="25"/>
  <c r="AF90" i="25"/>
  <c r="AE90" i="25"/>
  <c r="AD90" i="25"/>
  <c r="AC90" i="25"/>
  <c r="AB90" i="25"/>
  <c r="Y90" i="25"/>
  <c r="B90" i="25"/>
  <c r="AA90" i="25" s="1"/>
  <c r="A90" i="25"/>
  <c r="AF89" i="25"/>
  <c r="AE89" i="25"/>
  <c r="AD89" i="25"/>
  <c r="AC89" i="25"/>
  <c r="AB89" i="25"/>
  <c r="AA89" i="25"/>
  <c r="Z89" i="25"/>
  <c r="Y89" i="25"/>
  <c r="B89" i="25"/>
  <c r="A89" i="25"/>
  <c r="AD88" i="25"/>
  <c r="AC88" i="25"/>
  <c r="AB88" i="25"/>
  <c r="AA88" i="25"/>
  <c r="Z88" i="25"/>
  <c r="Y88" i="25"/>
  <c r="B88" i="25"/>
  <c r="AF88" i="25" s="1"/>
  <c r="A88" i="25"/>
  <c r="AB87" i="25"/>
  <c r="AA87" i="25"/>
  <c r="Z87" i="25"/>
  <c r="Y87" i="25"/>
  <c r="B87" i="25"/>
  <c r="A87" i="25"/>
  <c r="B86" i="25"/>
  <c r="A86" i="25"/>
  <c r="AF85" i="25"/>
  <c r="AE85" i="25"/>
  <c r="B85" i="25"/>
  <c r="A85" i="25"/>
  <c r="AF84" i="25"/>
  <c r="AE84" i="25"/>
  <c r="AD84" i="25"/>
  <c r="AC84" i="25"/>
  <c r="AB84" i="25"/>
  <c r="Y84" i="25"/>
  <c r="B84" i="25"/>
  <c r="AA84" i="25" s="1"/>
  <c r="A84" i="25"/>
  <c r="AF83" i="25"/>
  <c r="AE83" i="25"/>
  <c r="AD83" i="25"/>
  <c r="AC83" i="25"/>
  <c r="AB83" i="25"/>
  <c r="AA83" i="25"/>
  <c r="Z83" i="25"/>
  <c r="Y83" i="25"/>
  <c r="B83" i="25"/>
  <c r="A83" i="25"/>
  <c r="AD82" i="25"/>
  <c r="AC82" i="25"/>
  <c r="AB82" i="25"/>
  <c r="AA82" i="25"/>
  <c r="Z82" i="25"/>
  <c r="Y82" i="25"/>
  <c r="B82" i="25"/>
  <c r="AF82" i="25" s="1"/>
  <c r="A82" i="25"/>
  <c r="AA81" i="25"/>
  <c r="B81" i="25"/>
  <c r="A81" i="25"/>
  <c r="B80" i="25"/>
  <c r="A80" i="25"/>
  <c r="AF79" i="25"/>
  <c r="AE79" i="25"/>
  <c r="B79" i="25"/>
  <c r="A79" i="25"/>
  <c r="AF78" i="25"/>
  <c r="AE78" i="25"/>
  <c r="AD78" i="25"/>
  <c r="AC78" i="25"/>
  <c r="AB78" i="25"/>
  <c r="Y78" i="25"/>
  <c r="B78" i="25"/>
  <c r="AA78" i="25" s="1"/>
  <c r="A78" i="25"/>
  <c r="AF77" i="25"/>
  <c r="AE77" i="25"/>
  <c r="AD77" i="25"/>
  <c r="AC77" i="25"/>
  <c r="AB77" i="25"/>
  <c r="AA77" i="25"/>
  <c r="Z77" i="25"/>
  <c r="Y77" i="25"/>
  <c r="B77" i="25"/>
  <c r="A77" i="25"/>
  <c r="AD76" i="25"/>
  <c r="AC76" i="25"/>
  <c r="AB76" i="25"/>
  <c r="AA76" i="25"/>
  <c r="Z76" i="25"/>
  <c r="Y76" i="25"/>
  <c r="B76" i="25"/>
  <c r="AF76" i="25" s="1"/>
  <c r="A76" i="25"/>
  <c r="AA75" i="25"/>
  <c r="Z75" i="25"/>
  <c r="Y75" i="25"/>
  <c r="B75" i="25"/>
  <c r="A75" i="25"/>
  <c r="Z74" i="25"/>
  <c r="Y74" i="25"/>
  <c r="B74" i="25"/>
  <c r="A74" i="25"/>
  <c r="B73" i="25"/>
  <c r="A73" i="25"/>
  <c r="AF72" i="25"/>
  <c r="AE72" i="25"/>
  <c r="AD72" i="25"/>
  <c r="AC72" i="25"/>
  <c r="AB72" i="25"/>
  <c r="Y72" i="25"/>
  <c r="B72" i="25"/>
  <c r="AA72" i="25" s="1"/>
  <c r="A72" i="25"/>
  <c r="AF71" i="25"/>
  <c r="AE71" i="25"/>
  <c r="AD71" i="25"/>
  <c r="AC71" i="25"/>
  <c r="AB71" i="25"/>
  <c r="AA71" i="25"/>
  <c r="Z71" i="25"/>
  <c r="Y71" i="25"/>
  <c r="B71" i="25"/>
  <c r="A71" i="25"/>
  <c r="AD70" i="25"/>
  <c r="AC70" i="25"/>
  <c r="AB70" i="25"/>
  <c r="AA70" i="25"/>
  <c r="Z70" i="25"/>
  <c r="Y70" i="25"/>
  <c r="B70" i="25"/>
  <c r="AF70" i="25" s="1"/>
  <c r="A70" i="25"/>
  <c r="AB69" i="25"/>
  <c r="AA69" i="25"/>
  <c r="Z69" i="25"/>
  <c r="Y69" i="25"/>
  <c r="B69" i="25"/>
  <c r="A69" i="25"/>
  <c r="B68" i="25"/>
  <c r="A68" i="25"/>
  <c r="AF67" i="25"/>
  <c r="B67" i="25"/>
  <c r="A67" i="25"/>
  <c r="AF66" i="25"/>
  <c r="AE66" i="25"/>
  <c r="AD66" i="25"/>
  <c r="AC66" i="25"/>
  <c r="AB66" i="25"/>
  <c r="Y66" i="25"/>
  <c r="B66" i="25"/>
  <c r="AA66" i="25" s="1"/>
  <c r="A66" i="25"/>
  <c r="AF65" i="25"/>
  <c r="AE65" i="25"/>
  <c r="AD65" i="25"/>
  <c r="AC65" i="25"/>
  <c r="AB65" i="25"/>
  <c r="AA65" i="25"/>
  <c r="Z65" i="25"/>
  <c r="Y65" i="25"/>
  <c r="B65" i="25"/>
  <c r="A65" i="25"/>
  <c r="AD64" i="25"/>
  <c r="AC64" i="25"/>
  <c r="AB64" i="25"/>
  <c r="AA64" i="25"/>
  <c r="Z64" i="25"/>
  <c r="Y64" i="25"/>
  <c r="B64" i="25"/>
  <c r="AF64" i="25" s="1"/>
  <c r="A64" i="25"/>
  <c r="AA63" i="25"/>
  <c r="B63" i="25"/>
  <c r="A63" i="25"/>
  <c r="Z62" i="25"/>
  <c r="B62" i="25"/>
  <c r="A62" i="25"/>
  <c r="AF61" i="25"/>
  <c r="AE61" i="25"/>
  <c r="B61" i="25"/>
  <c r="A61" i="25"/>
  <c r="AF60" i="25"/>
  <c r="AE60" i="25"/>
  <c r="AD60" i="25"/>
  <c r="AC60" i="25"/>
  <c r="AB60" i="25"/>
  <c r="Y60" i="25"/>
  <c r="B60" i="25"/>
  <c r="AA60" i="25" s="1"/>
  <c r="A60" i="25"/>
  <c r="AF59" i="25"/>
  <c r="AE59" i="25"/>
  <c r="AD59" i="25"/>
  <c r="AC59" i="25"/>
  <c r="AB59" i="25"/>
  <c r="AA59" i="25"/>
  <c r="Z59" i="25"/>
  <c r="Y59" i="25"/>
  <c r="B59" i="25"/>
  <c r="A59" i="25"/>
  <c r="AD58" i="25"/>
  <c r="AC58" i="25"/>
  <c r="AB58" i="25"/>
  <c r="AA58" i="25"/>
  <c r="Z58" i="25"/>
  <c r="Y58" i="25"/>
  <c r="B58" i="25"/>
  <c r="AF58" i="25" s="1"/>
  <c r="A58" i="25"/>
  <c r="AA57" i="25"/>
  <c r="Z57" i="25"/>
  <c r="Y57" i="25"/>
  <c r="B57" i="25"/>
  <c r="A57" i="25"/>
  <c r="Z56" i="25"/>
  <c r="Y56" i="25"/>
  <c r="B56" i="25"/>
  <c r="A56" i="25"/>
  <c r="B55" i="25"/>
  <c r="A55" i="25"/>
  <c r="AF54" i="25"/>
  <c r="AE54" i="25"/>
  <c r="AD54" i="25"/>
  <c r="AC54" i="25"/>
  <c r="AB54" i="25"/>
  <c r="Y54" i="25"/>
  <c r="B54" i="25"/>
  <c r="AA54" i="25" s="1"/>
  <c r="A54" i="25"/>
  <c r="AF53" i="25"/>
  <c r="AE53" i="25"/>
  <c r="AD53" i="25"/>
  <c r="AC53" i="25"/>
  <c r="AB53" i="25"/>
  <c r="AA53" i="25"/>
  <c r="Z53" i="25"/>
  <c r="Y53" i="25"/>
  <c r="B53" i="25"/>
  <c r="A53" i="25"/>
  <c r="AE52" i="25"/>
  <c r="AD52" i="25"/>
  <c r="AC52" i="25"/>
  <c r="AB52" i="25"/>
  <c r="AA52" i="25"/>
  <c r="Z52" i="25"/>
  <c r="Y52" i="25"/>
  <c r="K17" i="25"/>
  <c r="J17" i="25"/>
  <c r="I17" i="25"/>
  <c r="H17" i="25"/>
  <c r="G17" i="25"/>
  <c r="F17" i="25"/>
  <c r="J16" i="25"/>
  <c r="I16" i="25"/>
  <c r="H16" i="25"/>
  <c r="G16" i="25"/>
  <c r="F16" i="25"/>
  <c r="K15" i="25"/>
  <c r="J15" i="25"/>
  <c r="I15" i="25"/>
  <c r="H15" i="25"/>
  <c r="G15" i="25"/>
  <c r="F15" i="25"/>
  <c r="J14" i="25"/>
  <c r="I14" i="25"/>
  <c r="H14" i="25"/>
  <c r="G14" i="25"/>
  <c r="F14" i="25"/>
  <c r="K13" i="25"/>
  <c r="J13" i="25"/>
  <c r="I13" i="25"/>
  <c r="H13" i="25"/>
  <c r="G13" i="25"/>
  <c r="F13" i="25"/>
  <c r="J12" i="25"/>
  <c r="I12" i="25"/>
  <c r="H12" i="25"/>
  <c r="G12" i="25"/>
  <c r="F12" i="25"/>
  <c r="K11" i="25"/>
  <c r="J11" i="25"/>
  <c r="I11" i="25"/>
  <c r="H11" i="25"/>
  <c r="G11" i="25"/>
  <c r="F11" i="25"/>
  <c r="E7" i="25"/>
  <c r="D7" i="25"/>
  <c r="C7" i="25"/>
  <c r="B7" i="25"/>
  <c r="A7" i="25"/>
  <c r="A5" i="25"/>
  <c r="J2" i="25"/>
  <c r="H2" i="25"/>
  <c r="F2" i="25"/>
  <c r="D2" i="25"/>
  <c r="B2" i="25"/>
  <c r="A1" i="25"/>
  <c r="W230" i="24"/>
  <c r="V230" i="24"/>
  <c r="B230" i="24"/>
  <c r="A230" i="24"/>
  <c r="W229" i="24"/>
  <c r="V229" i="24"/>
  <c r="U229" i="24"/>
  <c r="T229" i="24"/>
  <c r="S229" i="24"/>
  <c r="P229" i="24"/>
  <c r="B229" i="24"/>
  <c r="R229" i="24" s="1"/>
  <c r="A229" i="24"/>
  <c r="W228" i="24"/>
  <c r="V228" i="24"/>
  <c r="U228" i="24"/>
  <c r="T228" i="24"/>
  <c r="S228" i="24"/>
  <c r="R228" i="24"/>
  <c r="Q228" i="24"/>
  <c r="P228" i="24"/>
  <c r="B228" i="24"/>
  <c r="A228" i="24"/>
  <c r="U227" i="24"/>
  <c r="T227" i="24"/>
  <c r="S227" i="24"/>
  <c r="R227" i="24"/>
  <c r="Q227" i="24"/>
  <c r="P227" i="24"/>
  <c r="B227" i="24"/>
  <c r="W227" i="24" s="1"/>
  <c r="A227" i="24"/>
  <c r="B226" i="24"/>
  <c r="A226" i="24"/>
  <c r="Q225" i="24"/>
  <c r="P225" i="24"/>
  <c r="B225" i="24"/>
  <c r="A225" i="24"/>
  <c r="B224" i="24"/>
  <c r="A224" i="24"/>
  <c r="W223" i="24"/>
  <c r="V223" i="24"/>
  <c r="U223" i="24"/>
  <c r="T223" i="24"/>
  <c r="S223" i="24"/>
  <c r="P223" i="24"/>
  <c r="B223" i="24"/>
  <c r="R223" i="24" s="1"/>
  <c r="A223" i="24"/>
  <c r="W222" i="24"/>
  <c r="V222" i="24"/>
  <c r="U222" i="24"/>
  <c r="T222" i="24"/>
  <c r="S222" i="24"/>
  <c r="R222" i="24"/>
  <c r="Q222" i="24"/>
  <c r="P222" i="24"/>
  <c r="B222" i="24"/>
  <c r="A222" i="24"/>
  <c r="U221" i="24"/>
  <c r="T221" i="24"/>
  <c r="S221" i="24"/>
  <c r="R221" i="24"/>
  <c r="Q221" i="24"/>
  <c r="P221" i="24"/>
  <c r="B221" i="24"/>
  <c r="W221" i="24" s="1"/>
  <c r="A221" i="24"/>
  <c r="S220" i="24"/>
  <c r="R220" i="24"/>
  <c r="Q220" i="24"/>
  <c r="P220" i="24"/>
  <c r="B220" i="24"/>
  <c r="A220" i="24"/>
  <c r="P219" i="24"/>
  <c r="B219" i="24"/>
  <c r="A219" i="24"/>
  <c r="B218" i="24"/>
  <c r="A218" i="24"/>
  <c r="W217" i="24"/>
  <c r="V217" i="24"/>
  <c r="U217" i="24"/>
  <c r="T217" i="24"/>
  <c r="S217" i="24"/>
  <c r="P217" i="24"/>
  <c r="B217" i="24"/>
  <c r="R217" i="24" s="1"/>
  <c r="A217" i="24"/>
  <c r="W216" i="24"/>
  <c r="V216" i="24"/>
  <c r="U216" i="24"/>
  <c r="T216" i="24"/>
  <c r="S216" i="24"/>
  <c r="R216" i="24"/>
  <c r="Q216" i="24"/>
  <c r="P216" i="24"/>
  <c r="B216" i="24"/>
  <c r="A216" i="24"/>
  <c r="U215" i="24"/>
  <c r="T215" i="24"/>
  <c r="S215" i="24"/>
  <c r="R215" i="24"/>
  <c r="Q215" i="24"/>
  <c r="P215" i="24"/>
  <c r="B215" i="24"/>
  <c r="W215" i="24" s="1"/>
  <c r="A215" i="24"/>
  <c r="B214" i="24"/>
  <c r="A214" i="24"/>
  <c r="Q213" i="24"/>
  <c r="B213" i="24"/>
  <c r="A213" i="24"/>
  <c r="W212" i="24"/>
  <c r="V212" i="24"/>
  <c r="B212" i="24"/>
  <c r="A212" i="24"/>
  <c r="W211" i="24"/>
  <c r="V211" i="24"/>
  <c r="U211" i="24"/>
  <c r="T211" i="24"/>
  <c r="S211" i="24"/>
  <c r="P211" i="24"/>
  <c r="B211" i="24"/>
  <c r="R211" i="24" s="1"/>
  <c r="A211" i="24"/>
  <c r="W210" i="24"/>
  <c r="V210" i="24"/>
  <c r="U210" i="24"/>
  <c r="T210" i="24"/>
  <c r="S210" i="24"/>
  <c r="R210" i="24"/>
  <c r="Q210" i="24"/>
  <c r="P210" i="24"/>
  <c r="B210" i="24"/>
  <c r="A210" i="24"/>
  <c r="U209" i="24"/>
  <c r="T209" i="24"/>
  <c r="S209" i="24"/>
  <c r="R209" i="24"/>
  <c r="Q209" i="24"/>
  <c r="P209" i="24"/>
  <c r="B209" i="24"/>
  <c r="W209" i="24" s="1"/>
  <c r="A209" i="24"/>
  <c r="R208" i="24"/>
  <c r="B208" i="24"/>
  <c r="A208" i="24"/>
  <c r="Q207" i="24"/>
  <c r="P207" i="24"/>
  <c r="B207" i="24"/>
  <c r="A207" i="24"/>
  <c r="V206" i="24"/>
  <c r="B206" i="24"/>
  <c r="A206" i="24"/>
  <c r="W205" i="24"/>
  <c r="V205" i="24"/>
  <c r="U205" i="24"/>
  <c r="T205" i="24"/>
  <c r="S205" i="24"/>
  <c r="P205" i="24"/>
  <c r="B205" i="24"/>
  <c r="R205" i="24" s="1"/>
  <c r="A205" i="24"/>
  <c r="W204" i="24"/>
  <c r="V204" i="24"/>
  <c r="U204" i="24"/>
  <c r="T204" i="24"/>
  <c r="S204" i="24"/>
  <c r="R204" i="24"/>
  <c r="Q204" i="24"/>
  <c r="P204" i="24"/>
  <c r="B204" i="24"/>
  <c r="A204" i="24"/>
  <c r="U203" i="24"/>
  <c r="T203" i="24"/>
  <c r="S203" i="24"/>
  <c r="R203" i="24"/>
  <c r="Q203" i="24"/>
  <c r="P203" i="24"/>
  <c r="B203" i="24"/>
  <c r="W203" i="24" s="1"/>
  <c r="A203" i="24"/>
  <c r="S202" i="24"/>
  <c r="R202" i="24"/>
  <c r="Q202" i="24"/>
  <c r="P202" i="24"/>
  <c r="B202" i="24"/>
  <c r="A202" i="24"/>
  <c r="B201" i="24"/>
  <c r="A201" i="24"/>
  <c r="B200" i="24"/>
  <c r="A200" i="24"/>
  <c r="W199" i="24"/>
  <c r="V199" i="24"/>
  <c r="U199" i="24"/>
  <c r="T199" i="24"/>
  <c r="S199" i="24"/>
  <c r="P199" i="24"/>
  <c r="B199" i="24"/>
  <c r="R199" i="24" s="1"/>
  <c r="A199" i="24"/>
  <c r="W198" i="24"/>
  <c r="V198" i="24"/>
  <c r="U198" i="24"/>
  <c r="T198" i="24"/>
  <c r="S198" i="24"/>
  <c r="R198" i="24"/>
  <c r="Q198" i="24"/>
  <c r="P198" i="24"/>
  <c r="B198" i="24"/>
  <c r="A198" i="24"/>
  <c r="U197" i="24"/>
  <c r="T197" i="24"/>
  <c r="S197" i="24"/>
  <c r="R197" i="24"/>
  <c r="Q197" i="24"/>
  <c r="P197" i="24"/>
  <c r="B197" i="24"/>
  <c r="W197" i="24" s="1"/>
  <c r="A197" i="24"/>
  <c r="P196" i="24"/>
  <c r="B196" i="24"/>
  <c r="A196" i="24"/>
  <c r="B195" i="24"/>
  <c r="A195" i="24"/>
  <c r="W194" i="24"/>
  <c r="V194" i="24"/>
  <c r="B194" i="24"/>
  <c r="A194" i="24"/>
  <c r="W193" i="24"/>
  <c r="V193" i="24"/>
  <c r="U193" i="24"/>
  <c r="T193" i="24"/>
  <c r="S193" i="24"/>
  <c r="P193" i="24"/>
  <c r="B193" i="24"/>
  <c r="R193" i="24" s="1"/>
  <c r="A193" i="24"/>
  <c r="W192" i="24"/>
  <c r="V192" i="24"/>
  <c r="U192" i="24"/>
  <c r="T192" i="24"/>
  <c r="S192" i="24"/>
  <c r="R192" i="24"/>
  <c r="Q192" i="24"/>
  <c r="P192" i="24"/>
  <c r="B192" i="24"/>
  <c r="A192" i="24"/>
  <c r="U191" i="24"/>
  <c r="T191" i="24"/>
  <c r="S191" i="24"/>
  <c r="R191" i="24"/>
  <c r="Q191" i="24"/>
  <c r="P191" i="24"/>
  <c r="B191" i="24"/>
  <c r="W191" i="24" s="1"/>
  <c r="A191" i="24"/>
  <c r="V190" i="24"/>
  <c r="U190" i="24"/>
  <c r="T190" i="24"/>
  <c r="S190" i="24"/>
  <c r="R190" i="24"/>
  <c r="Q190" i="24"/>
  <c r="P190" i="24"/>
  <c r="AF184" i="24"/>
  <c r="AE184" i="24"/>
  <c r="AD184" i="24"/>
  <c r="AC184" i="24"/>
  <c r="AB184" i="24"/>
  <c r="Z184" i="24"/>
  <c r="Y184" i="24"/>
  <c r="B184" i="24"/>
  <c r="AA184" i="24" s="1"/>
  <c r="A184" i="24"/>
  <c r="AF183" i="24"/>
  <c r="AE183" i="24"/>
  <c r="AD183" i="24"/>
  <c r="AC183" i="24"/>
  <c r="AB183" i="24"/>
  <c r="AA183" i="24"/>
  <c r="B183" i="24"/>
  <c r="Z183" i="24" s="1"/>
  <c r="A183" i="24"/>
  <c r="AE182" i="24"/>
  <c r="AD182" i="24"/>
  <c r="AC182" i="24"/>
  <c r="AB182" i="24"/>
  <c r="AA182" i="24"/>
  <c r="Z182" i="24"/>
  <c r="Y182" i="24"/>
  <c r="B182" i="24"/>
  <c r="AF182" i="24" s="1"/>
  <c r="A182" i="24"/>
  <c r="AA181" i="24"/>
  <c r="Y181" i="24"/>
  <c r="B181" i="24"/>
  <c r="A181" i="24"/>
  <c r="AA180" i="24"/>
  <c r="Z180" i="24"/>
  <c r="B180" i="24"/>
  <c r="A180" i="24"/>
  <c r="B179" i="24"/>
  <c r="A179" i="24"/>
  <c r="AF178" i="24"/>
  <c r="AE178" i="24"/>
  <c r="AD178" i="24"/>
  <c r="AC178" i="24"/>
  <c r="AB178" i="24"/>
  <c r="Z178" i="24"/>
  <c r="Y178" i="24"/>
  <c r="B178" i="24"/>
  <c r="AA178" i="24" s="1"/>
  <c r="A178" i="24"/>
  <c r="AF177" i="24"/>
  <c r="AE177" i="24"/>
  <c r="AD177" i="24"/>
  <c r="AC177" i="24"/>
  <c r="AB177" i="24"/>
  <c r="AA177" i="24"/>
  <c r="B177" i="24"/>
  <c r="Z177" i="24" s="1"/>
  <c r="A177" i="24"/>
  <c r="AE176" i="24"/>
  <c r="AD176" i="24"/>
  <c r="AC176" i="24"/>
  <c r="AB176" i="24"/>
  <c r="AA176" i="24"/>
  <c r="Z176" i="24"/>
  <c r="Y176" i="24"/>
  <c r="B176" i="24"/>
  <c r="AF176" i="24" s="1"/>
  <c r="A176" i="24"/>
  <c r="AC175" i="24"/>
  <c r="AB175" i="24"/>
  <c r="AA175" i="24"/>
  <c r="Z175" i="24"/>
  <c r="Y175" i="24"/>
  <c r="B175" i="24"/>
  <c r="A175" i="24"/>
  <c r="Z174" i="24"/>
  <c r="B174" i="24"/>
  <c r="A174" i="24"/>
  <c r="AF173" i="24"/>
  <c r="AE173" i="24"/>
  <c r="Y173" i="24"/>
  <c r="B173" i="24"/>
  <c r="A173" i="24"/>
  <c r="AF172" i="24"/>
  <c r="AE172" i="24"/>
  <c r="AD172" i="24"/>
  <c r="AC172" i="24"/>
  <c r="AB172" i="24"/>
  <c r="Z172" i="24"/>
  <c r="Y172" i="24"/>
  <c r="B172" i="24"/>
  <c r="AA172" i="24" s="1"/>
  <c r="A172" i="24"/>
  <c r="AF171" i="24"/>
  <c r="AE171" i="24"/>
  <c r="AD171" i="24"/>
  <c r="AC171" i="24"/>
  <c r="AB171" i="24"/>
  <c r="AA171" i="24"/>
  <c r="B171" i="24"/>
  <c r="Z171" i="24" s="1"/>
  <c r="A171" i="24"/>
  <c r="AE170" i="24"/>
  <c r="AD170" i="24"/>
  <c r="AC170" i="24"/>
  <c r="AB170" i="24"/>
  <c r="AA170" i="24"/>
  <c r="Z170" i="24"/>
  <c r="Y170" i="24"/>
  <c r="B170" i="24"/>
  <c r="AF170" i="24" s="1"/>
  <c r="A170" i="24"/>
  <c r="AC169" i="24"/>
  <c r="AB169" i="24"/>
  <c r="AA169" i="24"/>
  <c r="Z169" i="24"/>
  <c r="Y169" i="24"/>
  <c r="B169" i="24"/>
  <c r="A169" i="24"/>
  <c r="AA168" i="24"/>
  <c r="Z168" i="24"/>
  <c r="Y168" i="24"/>
  <c r="B168" i="24"/>
  <c r="A168" i="24"/>
  <c r="AE167" i="24"/>
  <c r="Y167" i="24"/>
  <c r="B167" i="24"/>
  <c r="A167" i="24"/>
  <c r="AF166" i="24"/>
  <c r="AE166" i="24"/>
  <c r="AD166" i="24"/>
  <c r="AC166" i="24"/>
  <c r="AB166" i="24"/>
  <c r="Z166" i="24"/>
  <c r="Y166" i="24"/>
  <c r="B166" i="24"/>
  <c r="AA166" i="24" s="1"/>
  <c r="A166" i="24"/>
  <c r="AF165" i="24"/>
  <c r="AE165" i="24"/>
  <c r="AD165" i="24"/>
  <c r="AC165" i="24"/>
  <c r="AB165" i="24"/>
  <c r="AA165" i="24"/>
  <c r="B165" i="24"/>
  <c r="A165" i="24"/>
  <c r="AE164" i="24"/>
  <c r="AD164" i="24"/>
  <c r="AC164" i="24"/>
  <c r="AB164" i="24"/>
  <c r="AA164" i="24"/>
  <c r="Z164" i="24"/>
  <c r="Y164" i="24"/>
  <c r="B164" i="24"/>
  <c r="AF164" i="24" s="1"/>
  <c r="A164" i="24"/>
  <c r="B163" i="24"/>
  <c r="A163" i="24"/>
  <c r="AA162" i="24"/>
  <c r="B162" i="24"/>
  <c r="A162" i="24"/>
  <c r="B161" i="24"/>
  <c r="A161" i="24"/>
  <c r="AF160" i="24"/>
  <c r="AE160" i="24"/>
  <c r="AD160" i="24"/>
  <c r="AC160" i="24"/>
  <c r="AB160" i="24"/>
  <c r="Z160" i="24"/>
  <c r="Y160" i="24"/>
  <c r="B160" i="24"/>
  <c r="AA160" i="24" s="1"/>
  <c r="A160" i="24"/>
  <c r="AE159" i="24"/>
  <c r="AC159" i="24"/>
  <c r="AB159" i="24"/>
  <c r="B159" i="24"/>
  <c r="A159" i="24"/>
  <c r="AE158" i="24"/>
  <c r="AD158" i="24"/>
  <c r="AC158" i="24"/>
  <c r="AB158" i="24"/>
  <c r="AA158" i="24"/>
  <c r="Z158" i="24"/>
  <c r="Y158" i="24"/>
  <c r="B158" i="24"/>
  <c r="AF158" i="24" s="1"/>
  <c r="A158" i="24"/>
  <c r="AF157" i="24"/>
  <c r="AC157" i="24"/>
  <c r="AB157" i="24"/>
  <c r="AA157" i="24"/>
  <c r="Z157" i="24"/>
  <c r="B157" i="24"/>
  <c r="A157" i="24"/>
  <c r="AD156" i="24"/>
  <c r="AA156" i="24"/>
  <c r="Z156" i="24"/>
  <c r="Y156" i="24"/>
  <c r="B156" i="24"/>
  <c r="A156" i="24"/>
  <c r="AF155" i="24"/>
  <c r="AE155" i="24"/>
  <c r="AB155" i="24"/>
  <c r="B155" i="24"/>
  <c r="A155" i="24"/>
  <c r="AF154" i="24"/>
  <c r="AE154" i="24"/>
  <c r="AD154" i="24"/>
  <c r="AC154" i="24"/>
  <c r="AB154" i="24"/>
  <c r="Z154" i="24"/>
  <c r="Y154" i="24"/>
  <c r="B154" i="24"/>
  <c r="AA154" i="24" s="1"/>
  <c r="A154" i="24"/>
  <c r="AC153" i="24"/>
  <c r="AB153" i="24"/>
  <c r="B153" i="24"/>
  <c r="A153" i="24"/>
  <c r="AE152" i="24"/>
  <c r="AD152" i="24"/>
  <c r="AC152" i="24"/>
  <c r="AB152" i="24"/>
  <c r="AA152" i="24"/>
  <c r="Z152" i="24"/>
  <c r="Y152" i="24"/>
  <c r="B152" i="24"/>
  <c r="AF152" i="24" s="1"/>
  <c r="A152" i="24"/>
  <c r="AF151" i="24"/>
  <c r="AC151" i="24"/>
  <c r="AA151" i="24"/>
  <c r="Z151" i="24"/>
  <c r="B151" i="24"/>
  <c r="AB151" i="24" s="1"/>
  <c r="A151" i="24"/>
  <c r="Z150" i="24"/>
  <c r="Y150" i="24"/>
  <c r="B150" i="24"/>
  <c r="A150" i="24"/>
  <c r="AE149" i="24"/>
  <c r="AB149" i="24"/>
  <c r="B149" i="24"/>
  <c r="AF149" i="24" s="1"/>
  <c r="A149" i="24"/>
  <c r="AF148" i="24"/>
  <c r="AE148" i="24"/>
  <c r="AD148" i="24"/>
  <c r="AC148" i="24"/>
  <c r="AB148" i="24"/>
  <c r="Z148" i="24"/>
  <c r="Y148" i="24"/>
  <c r="B148" i="24"/>
  <c r="AA148" i="24" s="1"/>
  <c r="A148" i="24"/>
  <c r="AA147" i="24"/>
  <c r="B147" i="24"/>
  <c r="A147" i="24"/>
  <c r="AE146" i="24"/>
  <c r="AD146" i="24"/>
  <c r="AC146" i="24"/>
  <c r="AB146" i="24"/>
  <c r="AA146" i="24"/>
  <c r="Z146" i="24"/>
  <c r="Y146" i="24"/>
  <c r="B146" i="24"/>
  <c r="AF146" i="24" s="1"/>
  <c r="A146" i="24"/>
  <c r="AF145" i="24"/>
  <c r="B145" i="24"/>
  <c r="A145" i="24"/>
  <c r="AE144" i="24"/>
  <c r="AD144" i="24"/>
  <c r="AC144" i="24"/>
  <c r="AB144" i="24"/>
  <c r="AA144" i="24"/>
  <c r="Z144" i="24"/>
  <c r="Y144" i="24"/>
  <c r="Z138" i="24"/>
  <c r="Y138" i="24"/>
  <c r="X138" i="24"/>
  <c r="W138" i="24"/>
  <c r="V138" i="24"/>
  <c r="S138" i="24"/>
  <c r="B138" i="24"/>
  <c r="U138" i="24" s="1"/>
  <c r="A138" i="24"/>
  <c r="Z137" i="24"/>
  <c r="Y137" i="24"/>
  <c r="X137" i="24"/>
  <c r="W137" i="24"/>
  <c r="V137" i="24"/>
  <c r="U137" i="24"/>
  <c r="T137" i="24"/>
  <c r="S137" i="24"/>
  <c r="B137" i="24"/>
  <c r="A137" i="24"/>
  <c r="U136" i="24"/>
  <c r="T136" i="24"/>
  <c r="B136" i="24"/>
  <c r="A136" i="24"/>
  <c r="Y135" i="24"/>
  <c r="V135" i="24"/>
  <c r="U135" i="24"/>
  <c r="T135" i="24"/>
  <c r="B135" i="24"/>
  <c r="A135" i="24"/>
  <c r="Z134" i="24"/>
  <c r="W134" i="24"/>
  <c r="T134" i="24"/>
  <c r="S134" i="24"/>
  <c r="B134" i="24"/>
  <c r="A134" i="24"/>
  <c r="Z133" i="24"/>
  <c r="Y133" i="24"/>
  <c r="X133" i="24"/>
  <c r="B133" i="24"/>
  <c r="A133" i="24"/>
  <c r="Z132" i="24"/>
  <c r="Y132" i="24"/>
  <c r="X132" i="24"/>
  <c r="W132" i="24"/>
  <c r="V132" i="24"/>
  <c r="S132" i="24"/>
  <c r="B132" i="24"/>
  <c r="U132" i="24" s="1"/>
  <c r="A132" i="24"/>
  <c r="Z131" i="24"/>
  <c r="Y131" i="24"/>
  <c r="X131" i="24"/>
  <c r="W131" i="24"/>
  <c r="V131" i="24"/>
  <c r="U131" i="24"/>
  <c r="T131" i="24"/>
  <c r="S131" i="24"/>
  <c r="B131" i="24"/>
  <c r="A131" i="24"/>
  <c r="X130" i="24"/>
  <c r="B130" i="24"/>
  <c r="A130" i="24"/>
  <c r="Y129" i="24"/>
  <c r="V129" i="24"/>
  <c r="U129" i="24"/>
  <c r="T129" i="24"/>
  <c r="S129" i="24"/>
  <c r="B129" i="24"/>
  <c r="A129" i="24"/>
  <c r="B128" i="24"/>
  <c r="A128" i="24"/>
  <c r="Z127" i="24"/>
  <c r="Y127" i="24"/>
  <c r="X127" i="24"/>
  <c r="U127" i="24"/>
  <c r="B127" i="24"/>
  <c r="A127" i="24"/>
  <c r="Z126" i="24"/>
  <c r="Y126" i="24"/>
  <c r="X126" i="24"/>
  <c r="W126" i="24"/>
  <c r="V126" i="24"/>
  <c r="S126" i="24"/>
  <c r="B126" i="24"/>
  <c r="U126" i="24" s="1"/>
  <c r="A126" i="24"/>
  <c r="Z125" i="24"/>
  <c r="Y125" i="24"/>
  <c r="X125" i="24"/>
  <c r="W125" i="24"/>
  <c r="V125" i="24"/>
  <c r="U125" i="24"/>
  <c r="T125" i="24"/>
  <c r="S125" i="24"/>
  <c r="B125" i="24"/>
  <c r="A125" i="24"/>
  <c r="X124" i="24"/>
  <c r="W124" i="24"/>
  <c r="V124" i="24"/>
  <c r="U124" i="24"/>
  <c r="T124" i="24"/>
  <c r="S124" i="24"/>
  <c r="B124" i="24"/>
  <c r="A124" i="24"/>
  <c r="Y123" i="24"/>
  <c r="V123" i="24"/>
  <c r="U123" i="24"/>
  <c r="T123" i="24"/>
  <c r="S123" i="24"/>
  <c r="B123" i="24"/>
  <c r="A123" i="24"/>
  <c r="Z122" i="24"/>
  <c r="W122" i="24"/>
  <c r="T122" i="24"/>
  <c r="B122" i="24"/>
  <c r="A122" i="24"/>
  <c r="Z121" i="24"/>
  <c r="Y121" i="24"/>
  <c r="X121" i="24"/>
  <c r="U121" i="24"/>
  <c r="B121" i="24"/>
  <c r="A121" i="24"/>
  <c r="Z120" i="24"/>
  <c r="Y120" i="24"/>
  <c r="X120" i="24"/>
  <c r="W120" i="24"/>
  <c r="V120" i="24"/>
  <c r="S120" i="24"/>
  <c r="B120" i="24"/>
  <c r="U120" i="24" s="1"/>
  <c r="A120" i="24"/>
  <c r="Z119" i="24"/>
  <c r="Y119" i="24"/>
  <c r="X119" i="24"/>
  <c r="W119" i="24"/>
  <c r="V119" i="24"/>
  <c r="U119" i="24"/>
  <c r="T119" i="24"/>
  <c r="S119" i="24"/>
  <c r="B119" i="24"/>
  <c r="A119" i="24"/>
  <c r="X118" i="24"/>
  <c r="V118" i="24"/>
  <c r="U118" i="24"/>
  <c r="B118" i="24"/>
  <c r="W118" i="24" s="1"/>
  <c r="A118" i="24"/>
  <c r="B117" i="24"/>
  <c r="A117" i="24"/>
  <c r="Z116" i="24"/>
  <c r="W116" i="24"/>
  <c r="T116" i="24"/>
  <c r="S116" i="24"/>
  <c r="B116" i="24"/>
  <c r="A116" i="24"/>
  <c r="B115" i="24"/>
  <c r="A115" i="24"/>
  <c r="Z114" i="24"/>
  <c r="Y114" i="24"/>
  <c r="X114" i="24"/>
  <c r="W114" i="24"/>
  <c r="V114" i="24"/>
  <c r="S114" i="24"/>
  <c r="B114" i="24"/>
  <c r="U114" i="24" s="1"/>
  <c r="A114" i="24"/>
  <c r="Z113" i="24"/>
  <c r="Y113" i="24"/>
  <c r="X113" i="24"/>
  <c r="W113" i="24"/>
  <c r="V113" i="24"/>
  <c r="U113" i="24"/>
  <c r="T113" i="24"/>
  <c r="S113" i="24"/>
  <c r="B113" i="24"/>
  <c r="A113" i="24"/>
  <c r="U112" i="24"/>
  <c r="T112" i="24"/>
  <c r="S112" i="24"/>
  <c r="B112" i="24"/>
  <c r="A112" i="24"/>
  <c r="Y111" i="24"/>
  <c r="V111" i="24"/>
  <c r="U111" i="24"/>
  <c r="T111" i="24"/>
  <c r="B111" i="24"/>
  <c r="A111" i="24"/>
  <c r="Z110" i="24"/>
  <c r="W110" i="24"/>
  <c r="T110" i="24"/>
  <c r="S110" i="24"/>
  <c r="B110" i="24"/>
  <c r="A110" i="24"/>
  <c r="Z109" i="24"/>
  <c r="Y109" i="24"/>
  <c r="X109" i="24"/>
  <c r="B109" i="24"/>
  <c r="A109" i="24"/>
  <c r="Z108" i="24"/>
  <c r="Y108" i="24"/>
  <c r="X108" i="24"/>
  <c r="W108" i="24"/>
  <c r="V108" i="24"/>
  <c r="S108" i="24"/>
  <c r="B108" i="24"/>
  <c r="U108" i="24" s="1"/>
  <c r="A108" i="24"/>
  <c r="Z107" i="24"/>
  <c r="Y107" i="24"/>
  <c r="X107" i="24"/>
  <c r="W107" i="24"/>
  <c r="V107" i="24"/>
  <c r="U107" i="24"/>
  <c r="T107" i="24"/>
  <c r="S107" i="24"/>
  <c r="B107" i="24"/>
  <c r="A107" i="24"/>
  <c r="X106" i="24"/>
  <c r="B106" i="24"/>
  <c r="A106" i="24"/>
  <c r="Y105" i="24"/>
  <c r="V105" i="24"/>
  <c r="U105" i="24"/>
  <c r="T105" i="24"/>
  <c r="S105" i="24"/>
  <c r="B105" i="24"/>
  <c r="A105" i="24"/>
  <c r="S104" i="24"/>
  <c r="B104" i="24"/>
  <c r="A104" i="24"/>
  <c r="Z103" i="24"/>
  <c r="Y103" i="24"/>
  <c r="X103" i="24"/>
  <c r="U103" i="24"/>
  <c r="B103" i="24"/>
  <c r="A103" i="24"/>
  <c r="Z102" i="24"/>
  <c r="Y102" i="24"/>
  <c r="X102" i="24"/>
  <c r="W102" i="24"/>
  <c r="V102" i="24"/>
  <c r="S102" i="24"/>
  <c r="B102" i="24"/>
  <c r="U102" i="24" s="1"/>
  <c r="A102" i="24"/>
  <c r="Z101" i="24"/>
  <c r="Y101" i="24"/>
  <c r="X101" i="24"/>
  <c r="W101" i="24"/>
  <c r="V101" i="24"/>
  <c r="U101" i="24"/>
  <c r="T101" i="24"/>
  <c r="S101" i="24"/>
  <c r="B101" i="24"/>
  <c r="A101" i="24"/>
  <c r="X100" i="24"/>
  <c r="W100" i="24"/>
  <c r="V100" i="24"/>
  <c r="U100" i="24"/>
  <c r="S100" i="24"/>
  <c r="B100" i="24"/>
  <c r="A100" i="24"/>
  <c r="Y99" i="24"/>
  <c r="V99" i="24"/>
  <c r="U99" i="24"/>
  <c r="T99" i="24"/>
  <c r="S99" i="24"/>
  <c r="B99" i="24"/>
  <c r="A99" i="24"/>
  <c r="Y98" i="24"/>
  <c r="X98" i="24"/>
  <c r="W98" i="24"/>
  <c r="V98" i="24"/>
  <c r="U98" i="24"/>
  <c r="T98" i="24"/>
  <c r="S98" i="24"/>
  <c r="AF92" i="24"/>
  <c r="AE92" i="24"/>
  <c r="AD92" i="24"/>
  <c r="AC92" i="24"/>
  <c r="AB92" i="24"/>
  <c r="AA92" i="24"/>
  <c r="B92" i="24"/>
  <c r="A92" i="24"/>
  <c r="AE91" i="24"/>
  <c r="AD91" i="24"/>
  <c r="AC91" i="24"/>
  <c r="AB91" i="24"/>
  <c r="AA91" i="24"/>
  <c r="Z91" i="24"/>
  <c r="Y91" i="24"/>
  <c r="B91" i="24"/>
  <c r="AF91" i="24" s="1"/>
  <c r="A91" i="24"/>
  <c r="B90" i="24"/>
  <c r="A90" i="24"/>
  <c r="AD89" i="24"/>
  <c r="AA89" i="24"/>
  <c r="Z89" i="24"/>
  <c r="B89" i="24"/>
  <c r="AC89" i="24" s="1"/>
  <c r="A89" i="24"/>
  <c r="B88" i="24"/>
  <c r="A88" i="24"/>
  <c r="AF87" i="24"/>
  <c r="AE87" i="24"/>
  <c r="AD87" i="24"/>
  <c r="AC87" i="24"/>
  <c r="AB87" i="24"/>
  <c r="Z87" i="24"/>
  <c r="Y87" i="24"/>
  <c r="B87" i="24"/>
  <c r="AA87" i="24" s="1"/>
  <c r="A87" i="24"/>
  <c r="AF86" i="24"/>
  <c r="AE86" i="24"/>
  <c r="AC86" i="24"/>
  <c r="AB86" i="24"/>
  <c r="B86" i="24"/>
  <c r="AD86" i="24" s="1"/>
  <c r="A86" i="24"/>
  <c r="AE85" i="24"/>
  <c r="AD85" i="24"/>
  <c r="AC85" i="24"/>
  <c r="AB85" i="24"/>
  <c r="AA85" i="24"/>
  <c r="Z85" i="24"/>
  <c r="Y85" i="24"/>
  <c r="B85" i="24"/>
  <c r="AF85" i="24" s="1"/>
  <c r="A85" i="24"/>
  <c r="B84" i="24"/>
  <c r="A84" i="24"/>
  <c r="AD83" i="24"/>
  <c r="AC83" i="24"/>
  <c r="AA83" i="24"/>
  <c r="Y83" i="24"/>
  <c r="B83" i="24"/>
  <c r="A83" i="24"/>
  <c r="AF82" i="24"/>
  <c r="AE82" i="24"/>
  <c r="AB82" i="24"/>
  <c r="AA82" i="24"/>
  <c r="Y82" i="24"/>
  <c r="B82" i="24"/>
  <c r="A82" i="24"/>
  <c r="AF81" i="24"/>
  <c r="AE81" i="24"/>
  <c r="AD81" i="24"/>
  <c r="AC81" i="24"/>
  <c r="AB81" i="24"/>
  <c r="Z81" i="24"/>
  <c r="Y81" i="24"/>
  <c r="B81" i="24"/>
  <c r="AA81" i="24" s="1"/>
  <c r="A81" i="24"/>
  <c r="AF80" i="24"/>
  <c r="AE80" i="24"/>
  <c r="AD80" i="24"/>
  <c r="AC80" i="24"/>
  <c r="AA80" i="24"/>
  <c r="B80" i="24"/>
  <c r="A80" i="24"/>
  <c r="AE79" i="24"/>
  <c r="AD79" i="24"/>
  <c r="AC79" i="24"/>
  <c r="AB79" i="24"/>
  <c r="AA79" i="24"/>
  <c r="Z79" i="24"/>
  <c r="Y79" i="24"/>
  <c r="B79" i="24"/>
  <c r="AF79" i="24" s="1"/>
  <c r="A79" i="24"/>
  <c r="Z78" i="24"/>
  <c r="B78" i="24"/>
  <c r="A78" i="24"/>
  <c r="AD77" i="24"/>
  <c r="AC77" i="24"/>
  <c r="AA77" i="24"/>
  <c r="Z77" i="24"/>
  <c r="Y77" i="24"/>
  <c r="B77" i="24"/>
  <c r="A77" i="24"/>
  <c r="B76" i="24"/>
  <c r="A76" i="24"/>
  <c r="AF75" i="24"/>
  <c r="AE75" i="24"/>
  <c r="AD75" i="24"/>
  <c r="AC75" i="24"/>
  <c r="AB75" i="24"/>
  <c r="Z75" i="24"/>
  <c r="Y75" i="24"/>
  <c r="B75" i="24"/>
  <c r="AA75" i="24" s="1"/>
  <c r="A75" i="24"/>
  <c r="AF74" i="24"/>
  <c r="AE74" i="24"/>
  <c r="AD74" i="24"/>
  <c r="AC74" i="24"/>
  <c r="AB74" i="24"/>
  <c r="AA74" i="24"/>
  <c r="B74" i="24"/>
  <c r="A74" i="24"/>
  <c r="AE73" i="24"/>
  <c r="AD73" i="24"/>
  <c r="AC73" i="24"/>
  <c r="AB73" i="24"/>
  <c r="AA73" i="24"/>
  <c r="Z73" i="24"/>
  <c r="Y73" i="24"/>
  <c r="B73" i="24"/>
  <c r="AF73" i="24" s="1"/>
  <c r="A73" i="24"/>
  <c r="AC72" i="24"/>
  <c r="AB72" i="24"/>
  <c r="AA72" i="24"/>
  <c r="Z72" i="24"/>
  <c r="Y72" i="24"/>
  <c r="B72" i="24"/>
  <c r="AD72" i="24" s="1"/>
  <c r="A72" i="24"/>
  <c r="AD71" i="24"/>
  <c r="AA71" i="24"/>
  <c r="B71" i="24"/>
  <c r="A71" i="24"/>
  <c r="AF70" i="24"/>
  <c r="AE70" i="24"/>
  <c r="B70" i="24"/>
  <c r="A70" i="24"/>
  <c r="AF69" i="24"/>
  <c r="AE69" i="24"/>
  <c r="AD69" i="24"/>
  <c r="AC69" i="24"/>
  <c r="AB69" i="24"/>
  <c r="Z69" i="24"/>
  <c r="Y69" i="24"/>
  <c r="B69" i="24"/>
  <c r="AA69" i="24" s="1"/>
  <c r="A69" i="24"/>
  <c r="AF68" i="24"/>
  <c r="AE68" i="24"/>
  <c r="AC68" i="24"/>
  <c r="B68" i="24"/>
  <c r="A68" i="24"/>
  <c r="AE67" i="24"/>
  <c r="AD67" i="24"/>
  <c r="AC67" i="24"/>
  <c r="AB67" i="24"/>
  <c r="AA67" i="24"/>
  <c r="Z67" i="24"/>
  <c r="Y67" i="24"/>
  <c r="B67" i="24"/>
  <c r="AF67" i="24" s="1"/>
  <c r="A67" i="24"/>
  <c r="B66" i="24"/>
  <c r="A66" i="24"/>
  <c r="B65" i="24"/>
  <c r="A65" i="24"/>
  <c r="AF64" i="24"/>
  <c r="AE64" i="24"/>
  <c r="AB64" i="24"/>
  <c r="AA64" i="24"/>
  <c r="Y64" i="24"/>
  <c r="B64" i="24"/>
  <c r="A64" i="24"/>
  <c r="AF63" i="24"/>
  <c r="AE63" i="24"/>
  <c r="AD63" i="24"/>
  <c r="AC63" i="24"/>
  <c r="AB63" i="24"/>
  <c r="Z63" i="24"/>
  <c r="Y63" i="24"/>
  <c r="B63" i="24"/>
  <c r="AA63" i="24" s="1"/>
  <c r="A63" i="24"/>
  <c r="B62" i="24"/>
  <c r="A62" i="24"/>
  <c r="AE61" i="24"/>
  <c r="AD61" i="24"/>
  <c r="AC61" i="24"/>
  <c r="AB61" i="24"/>
  <c r="AA61" i="24"/>
  <c r="Y61" i="24"/>
  <c r="B61" i="24"/>
  <c r="AF61" i="24" s="1"/>
  <c r="A61" i="24"/>
  <c r="B60" i="24"/>
  <c r="A60" i="24"/>
  <c r="Z59" i="24"/>
  <c r="B59" i="24"/>
  <c r="A59" i="24"/>
  <c r="AF58" i="24"/>
  <c r="AE58" i="24"/>
  <c r="AD58" i="24"/>
  <c r="AB58" i="24"/>
  <c r="AA58" i="24"/>
  <c r="Y58" i="24"/>
  <c r="B58" i="24"/>
  <c r="A58" i="24"/>
  <c r="AF57" i="24"/>
  <c r="AE57" i="24"/>
  <c r="AD57" i="24"/>
  <c r="AC57" i="24"/>
  <c r="AB57" i="24"/>
  <c r="Z57" i="24"/>
  <c r="Y57" i="24"/>
  <c r="B57" i="24"/>
  <c r="AA57" i="24" s="1"/>
  <c r="A57" i="24"/>
  <c r="AD56" i="24"/>
  <c r="AC56" i="24"/>
  <c r="AB56" i="24"/>
  <c r="AA56" i="24"/>
  <c r="Z56" i="24"/>
  <c r="B56" i="24"/>
  <c r="Y56" i="24" s="1"/>
  <c r="A56" i="24"/>
  <c r="AE55" i="24"/>
  <c r="Y55" i="24"/>
  <c r="B55" i="24"/>
  <c r="A55" i="24"/>
  <c r="AF54" i="24"/>
  <c r="AE54" i="24"/>
  <c r="AC54" i="24"/>
  <c r="AB54" i="24"/>
  <c r="AA54" i="24"/>
  <c r="Z54" i="24"/>
  <c r="Y54" i="24"/>
  <c r="B54" i="24"/>
  <c r="AD54" i="24" s="1"/>
  <c r="A54" i="24"/>
  <c r="B53" i="24"/>
  <c r="A53" i="24"/>
  <c r="AE52" i="24"/>
  <c r="AD52" i="24"/>
  <c r="AC52" i="24"/>
  <c r="AB52" i="24"/>
  <c r="AA52" i="24"/>
  <c r="Z52" i="24"/>
  <c r="Y52" i="24"/>
  <c r="J17" i="24"/>
  <c r="I17" i="24"/>
  <c r="H17" i="24"/>
  <c r="K17" i="24" s="1"/>
  <c r="G17" i="24"/>
  <c r="F17" i="24"/>
  <c r="J16" i="24"/>
  <c r="I16" i="24"/>
  <c r="H16" i="24"/>
  <c r="G16" i="24"/>
  <c r="K16" i="24" s="1"/>
  <c r="F16" i="24"/>
  <c r="J15" i="24"/>
  <c r="I15" i="24"/>
  <c r="H15" i="24"/>
  <c r="K15" i="24" s="1"/>
  <c r="G15" i="24"/>
  <c r="F15" i="24"/>
  <c r="J14" i="24"/>
  <c r="I14" i="24"/>
  <c r="H14" i="24"/>
  <c r="G14" i="24"/>
  <c r="F14" i="24"/>
  <c r="K13" i="24"/>
  <c r="J13" i="24"/>
  <c r="I13" i="24"/>
  <c r="H13" i="24"/>
  <c r="G13" i="24"/>
  <c r="F13" i="24"/>
  <c r="J12" i="24"/>
  <c r="I12" i="24"/>
  <c r="H12" i="24"/>
  <c r="G12" i="24"/>
  <c r="K12" i="24" s="1"/>
  <c r="F12" i="24"/>
  <c r="K11" i="24"/>
  <c r="J11" i="24"/>
  <c r="I11" i="24"/>
  <c r="H11" i="24"/>
  <c r="G11" i="24"/>
  <c r="F11" i="24"/>
  <c r="E7" i="24"/>
  <c r="D7" i="24"/>
  <c r="C7" i="24"/>
  <c r="B7" i="24"/>
  <c r="A7" i="24"/>
  <c r="A5" i="24"/>
  <c r="J2" i="24"/>
  <c r="H2" i="24"/>
  <c r="F2" i="24"/>
  <c r="D2" i="24"/>
  <c r="B2" i="24"/>
  <c r="A1" i="24"/>
  <c r="V230" i="23"/>
  <c r="U230" i="23"/>
  <c r="T230" i="23"/>
  <c r="R230" i="23"/>
  <c r="Q230" i="23"/>
  <c r="B230" i="23"/>
  <c r="W230" i="23" s="1"/>
  <c r="A230" i="23"/>
  <c r="B229" i="23"/>
  <c r="A229" i="23"/>
  <c r="P228" i="23"/>
  <c r="B228" i="23"/>
  <c r="A228" i="23"/>
  <c r="W227" i="23"/>
  <c r="V227" i="23"/>
  <c r="U227" i="23"/>
  <c r="S227" i="23"/>
  <c r="P227" i="23"/>
  <c r="B227" i="23"/>
  <c r="A227" i="23"/>
  <c r="W226" i="23"/>
  <c r="V226" i="23"/>
  <c r="U226" i="23"/>
  <c r="T226" i="23"/>
  <c r="S226" i="23"/>
  <c r="Q226" i="23"/>
  <c r="P226" i="23"/>
  <c r="B226" i="23"/>
  <c r="R226" i="23" s="1"/>
  <c r="A226" i="23"/>
  <c r="R225" i="23"/>
  <c r="B225" i="23"/>
  <c r="A225" i="23"/>
  <c r="B224" i="23"/>
  <c r="A224" i="23"/>
  <c r="W223" i="23"/>
  <c r="V223" i="23"/>
  <c r="T223" i="23"/>
  <c r="S223" i="23"/>
  <c r="R223" i="23"/>
  <c r="P223" i="23"/>
  <c r="B223" i="23"/>
  <c r="U223" i="23" s="1"/>
  <c r="A223" i="23"/>
  <c r="U222" i="23"/>
  <c r="T222" i="23"/>
  <c r="R222" i="23"/>
  <c r="Q222" i="23"/>
  <c r="B222" i="23"/>
  <c r="A222" i="23"/>
  <c r="B221" i="23"/>
  <c r="A221" i="23"/>
  <c r="W220" i="23"/>
  <c r="V220" i="23"/>
  <c r="U220" i="23"/>
  <c r="T220" i="23"/>
  <c r="S220" i="23"/>
  <c r="Q220" i="23"/>
  <c r="P220" i="23"/>
  <c r="B220" i="23"/>
  <c r="R220" i="23" s="1"/>
  <c r="A220" i="23"/>
  <c r="W219" i="23"/>
  <c r="V219" i="23"/>
  <c r="U219" i="23"/>
  <c r="T219" i="23"/>
  <c r="S219" i="23"/>
  <c r="R219" i="23"/>
  <c r="Q219" i="23"/>
  <c r="B219" i="23"/>
  <c r="P219" i="23" s="1"/>
  <c r="A219" i="23"/>
  <c r="T218" i="23"/>
  <c r="S218" i="23"/>
  <c r="R218" i="23"/>
  <c r="Q218" i="23"/>
  <c r="P218" i="23"/>
  <c r="B218" i="23"/>
  <c r="W218" i="23" s="1"/>
  <c r="A218" i="23"/>
  <c r="W217" i="23"/>
  <c r="P217" i="23"/>
  <c r="B217" i="23"/>
  <c r="A217" i="23"/>
  <c r="W216" i="23"/>
  <c r="U216" i="23"/>
  <c r="T216" i="23"/>
  <c r="R216" i="23"/>
  <c r="P216" i="23"/>
  <c r="B216" i="23"/>
  <c r="A216" i="23"/>
  <c r="U215" i="23"/>
  <c r="S215" i="23"/>
  <c r="R215" i="23"/>
  <c r="B215" i="23"/>
  <c r="A215" i="23"/>
  <c r="W214" i="23"/>
  <c r="V214" i="23"/>
  <c r="U214" i="23"/>
  <c r="T214" i="23"/>
  <c r="S214" i="23"/>
  <c r="Q214" i="23"/>
  <c r="P214" i="23"/>
  <c r="B214" i="23"/>
  <c r="R214" i="23" s="1"/>
  <c r="A214" i="23"/>
  <c r="V213" i="23"/>
  <c r="U213" i="23"/>
  <c r="S213" i="23"/>
  <c r="B213" i="23"/>
  <c r="P213" i="23" s="1"/>
  <c r="A213" i="23"/>
  <c r="V212" i="23"/>
  <c r="U212" i="23"/>
  <c r="T212" i="23"/>
  <c r="R212" i="23"/>
  <c r="Q212" i="23"/>
  <c r="B212" i="23"/>
  <c r="W212" i="23" s="1"/>
  <c r="A212" i="23"/>
  <c r="T211" i="23"/>
  <c r="S211" i="23"/>
  <c r="R211" i="23"/>
  <c r="Q211" i="23"/>
  <c r="B211" i="23"/>
  <c r="A211" i="23"/>
  <c r="B210" i="23"/>
  <c r="A210" i="23"/>
  <c r="W209" i="23"/>
  <c r="V209" i="23"/>
  <c r="U209" i="23"/>
  <c r="S209" i="23"/>
  <c r="P209" i="23"/>
  <c r="B209" i="23"/>
  <c r="A209" i="23"/>
  <c r="W208" i="23"/>
  <c r="V208" i="23"/>
  <c r="U208" i="23"/>
  <c r="T208" i="23"/>
  <c r="S208" i="23"/>
  <c r="Q208" i="23"/>
  <c r="P208" i="23"/>
  <c r="B208" i="23"/>
  <c r="R208" i="23" s="1"/>
  <c r="A208" i="23"/>
  <c r="S207" i="23"/>
  <c r="R207" i="23"/>
  <c r="B207" i="23"/>
  <c r="W207" i="23" s="1"/>
  <c r="A207" i="23"/>
  <c r="B206" i="23"/>
  <c r="A206" i="23"/>
  <c r="W205" i="23"/>
  <c r="V205" i="23"/>
  <c r="T205" i="23"/>
  <c r="S205" i="23"/>
  <c r="R205" i="23"/>
  <c r="P205" i="23"/>
  <c r="B205" i="23"/>
  <c r="U205" i="23" s="1"/>
  <c r="A205" i="23"/>
  <c r="R204" i="23"/>
  <c r="Q204" i="23"/>
  <c r="B204" i="23"/>
  <c r="A204" i="23"/>
  <c r="V203" i="23"/>
  <c r="P203" i="23"/>
  <c r="B203" i="23"/>
  <c r="A203" i="23"/>
  <c r="W202" i="23"/>
  <c r="V202" i="23"/>
  <c r="U202" i="23"/>
  <c r="T202" i="23"/>
  <c r="S202" i="23"/>
  <c r="Q202" i="23"/>
  <c r="P202" i="23"/>
  <c r="B202" i="23"/>
  <c r="R202" i="23" s="1"/>
  <c r="A202" i="23"/>
  <c r="W201" i="23"/>
  <c r="V201" i="23"/>
  <c r="U201" i="23"/>
  <c r="T201" i="23"/>
  <c r="S201" i="23"/>
  <c r="R201" i="23"/>
  <c r="Q201" i="23"/>
  <c r="B201" i="23"/>
  <c r="P201" i="23" s="1"/>
  <c r="A201" i="23"/>
  <c r="T200" i="23"/>
  <c r="S200" i="23"/>
  <c r="R200" i="23"/>
  <c r="Q200" i="23"/>
  <c r="P200" i="23"/>
  <c r="B200" i="23"/>
  <c r="W200" i="23" s="1"/>
  <c r="A200" i="23"/>
  <c r="T199" i="23"/>
  <c r="B199" i="23"/>
  <c r="A199" i="23"/>
  <c r="W198" i="23"/>
  <c r="U198" i="23"/>
  <c r="T198" i="23"/>
  <c r="R198" i="23"/>
  <c r="P198" i="23"/>
  <c r="B198" i="23"/>
  <c r="A198" i="23"/>
  <c r="U197" i="23"/>
  <c r="R197" i="23"/>
  <c r="B197" i="23"/>
  <c r="A197" i="23"/>
  <c r="W196" i="23"/>
  <c r="V196" i="23"/>
  <c r="U196" i="23"/>
  <c r="T196" i="23"/>
  <c r="S196" i="23"/>
  <c r="Q196" i="23"/>
  <c r="P196" i="23"/>
  <c r="B196" i="23"/>
  <c r="R196" i="23" s="1"/>
  <c r="A196" i="23"/>
  <c r="V195" i="23"/>
  <c r="U195" i="23"/>
  <c r="S195" i="23"/>
  <c r="B195" i="23"/>
  <c r="P195" i="23" s="1"/>
  <c r="A195" i="23"/>
  <c r="V194" i="23"/>
  <c r="B194" i="23"/>
  <c r="A194" i="23"/>
  <c r="T193" i="23"/>
  <c r="S193" i="23"/>
  <c r="B193" i="23"/>
  <c r="A193" i="23"/>
  <c r="P192" i="23"/>
  <c r="B192" i="23"/>
  <c r="A192" i="23"/>
  <c r="W191" i="23"/>
  <c r="V191" i="23"/>
  <c r="U191" i="23"/>
  <c r="S191" i="23"/>
  <c r="P191" i="23"/>
  <c r="B191" i="23"/>
  <c r="A191" i="23"/>
  <c r="V190" i="23"/>
  <c r="U190" i="23"/>
  <c r="T190" i="23"/>
  <c r="S190" i="23"/>
  <c r="R190" i="23"/>
  <c r="Q190" i="23"/>
  <c r="P190" i="23"/>
  <c r="AF184" i="23"/>
  <c r="AC184" i="23"/>
  <c r="Y184" i="23"/>
  <c r="B184" i="23"/>
  <c r="A184" i="23"/>
  <c r="AE183" i="23"/>
  <c r="AD183" i="23"/>
  <c r="AB183" i="23"/>
  <c r="AA183" i="23"/>
  <c r="Y183" i="23"/>
  <c r="B183" i="23"/>
  <c r="A183" i="23"/>
  <c r="AC182" i="23"/>
  <c r="AB182" i="23"/>
  <c r="B182" i="23"/>
  <c r="A182" i="23"/>
  <c r="Z181" i="23"/>
  <c r="B181" i="23"/>
  <c r="A181" i="23"/>
  <c r="AF180" i="23"/>
  <c r="AE180" i="23"/>
  <c r="AD180" i="23"/>
  <c r="AC180" i="23"/>
  <c r="AB180" i="23"/>
  <c r="AA180" i="23"/>
  <c r="Y180" i="23"/>
  <c r="B180" i="23"/>
  <c r="Z180" i="23" s="1"/>
  <c r="A180" i="23"/>
  <c r="AF179" i="23"/>
  <c r="AE179" i="23"/>
  <c r="AD179" i="23"/>
  <c r="AC179" i="23"/>
  <c r="AB179" i="23"/>
  <c r="AA179" i="23"/>
  <c r="Z179" i="23"/>
  <c r="Y179" i="23"/>
  <c r="B179" i="23"/>
  <c r="A179" i="23"/>
  <c r="AC178" i="23"/>
  <c r="AA178" i="23"/>
  <c r="B178" i="23"/>
  <c r="A178" i="23"/>
  <c r="Y177" i="23"/>
  <c r="B177" i="23"/>
  <c r="A177" i="23"/>
  <c r="AF176" i="23"/>
  <c r="AE176" i="23"/>
  <c r="AC176" i="23"/>
  <c r="AB176" i="23"/>
  <c r="Y176" i="23"/>
  <c r="B176" i="23"/>
  <c r="A176" i="23"/>
  <c r="AE175" i="23"/>
  <c r="AC175" i="23"/>
  <c r="AA175" i="23"/>
  <c r="B175" i="23"/>
  <c r="A175" i="23"/>
  <c r="AE174" i="23"/>
  <c r="AA174" i="23"/>
  <c r="B174" i="23"/>
  <c r="A174" i="23"/>
  <c r="AF173" i="23"/>
  <c r="AE173" i="23"/>
  <c r="AD173" i="23"/>
  <c r="AC173" i="23"/>
  <c r="AB173" i="23"/>
  <c r="AA173" i="23"/>
  <c r="Z173" i="23"/>
  <c r="Y173" i="23"/>
  <c r="B173" i="23"/>
  <c r="A173" i="23"/>
  <c r="AF172" i="23"/>
  <c r="AD172" i="23"/>
  <c r="AC172" i="23"/>
  <c r="AB172" i="23"/>
  <c r="AA172" i="23"/>
  <c r="Y172" i="23"/>
  <c r="B172" i="23"/>
  <c r="AE172" i="23" s="1"/>
  <c r="A172" i="23"/>
  <c r="AB171" i="23"/>
  <c r="AA171" i="23"/>
  <c r="B171" i="23"/>
  <c r="AD171" i="23" s="1"/>
  <c r="A171" i="23"/>
  <c r="AE170" i="23"/>
  <c r="Y170" i="23"/>
  <c r="B170" i="23"/>
  <c r="A170" i="23"/>
  <c r="AF169" i="23"/>
  <c r="AE169" i="23"/>
  <c r="AD169" i="23"/>
  <c r="AC169" i="23"/>
  <c r="Z169" i="23"/>
  <c r="B169" i="23"/>
  <c r="A169" i="23"/>
  <c r="B168" i="23"/>
  <c r="A168" i="23"/>
  <c r="AF167" i="23"/>
  <c r="AE167" i="23"/>
  <c r="AD167" i="23"/>
  <c r="AC167" i="23"/>
  <c r="AB167" i="23"/>
  <c r="AA167" i="23"/>
  <c r="Z167" i="23"/>
  <c r="Y167" i="23"/>
  <c r="B167" i="23"/>
  <c r="A167" i="23"/>
  <c r="AF166" i="23"/>
  <c r="B166" i="23"/>
  <c r="A166" i="23"/>
  <c r="AE165" i="23"/>
  <c r="AD165" i="23"/>
  <c r="AB165" i="23"/>
  <c r="AA165" i="23"/>
  <c r="Y165" i="23"/>
  <c r="B165" i="23"/>
  <c r="A165" i="23"/>
  <c r="B164" i="23"/>
  <c r="A164" i="23"/>
  <c r="AE163" i="23"/>
  <c r="B163" i="23"/>
  <c r="A163" i="23"/>
  <c r="AF162" i="23"/>
  <c r="AE162" i="23"/>
  <c r="AD162" i="23"/>
  <c r="AC162" i="23"/>
  <c r="AA162" i="23"/>
  <c r="Y162" i="23"/>
  <c r="B162" i="23"/>
  <c r="Z162" i="23" s="1"/>
  <c r="A162" i="23"/>
  <c r="AF161" i="23"/>
  <c r="AE161" i="23"/>
  <c r="AD161" i="23"/>
  <c r="AC161" i="23"/>
  <c r="AB161" i="23"/>
  <c r="AA161" i="23"/>
  <c r="Z161" i="23"/>
  <c r="Y161" i="23"/>
  <c r="B161" i="23"/>
  <c r="A161" i="23"/>
  <c r="AC160" i="23"/>
  <c r="AA160" i="23"/>
  <c r="B160" i="23"/>
  <c r="A160" i="23"/>
  <c r="Y159" i="23"/>
  <c r="B159" i="23"/>
  <c r="A159" i="23"/>
  <c r="AF158" i="23"/>
  <c r="AE158" i="23"/>
  <c r="AC158" i="23"/>
  <c r="AB158" i="23"/>
  <c r="Y158" i="23"/>
  <c r="B158" i="23"/>
  <c r="A158" i="23"/>
  <c r="AC157" i="23"/>
  <c r="AA157" i="23"/>
  <c r="B157" i="23"/>
  <c r="AE157" i="23" s="1"/>
  <c r="A157" i="23"/>
  <c r="AE156" i="23"/>
  <c r="AA156" i="23"/>
  <c r="B156" i="23"/>
  <c r="A156" i="23"/>
  <c r="AF155" i="23"/>
  <c r="AE155" i="23"/>
  <c r="AD155" i="23"/>
  <c r="AC155" i="23"/>
  <c r="AB155" i="23"/>
  <c r="AA155" i="23"/>
  <c r="Z155" i="23"/>
  <c r="Y155" i="23"/>
  <c r="B155" i="23"/>
  <c r="A155" i="23"/>
  <c r="AF154" i="23"/>
  <c r="AD154" i="23"/>
  <c r="AC154" i="23"/>
  <c r="AB154" i="23"/>
  <c r="AA154" i="23"/>
  <c r="Y154" i="23"/>
  <c r="B154" i="23"/>
  <c r="AE154" i="23" s="1"/>
  <c r="A154" i="23"/>
  <c r="AB153" i="23"/>
  <c r="AA153" i="23"/>
  <c r="B153" i="23"/>
  <c r="AD153" i="23" s="1"/>
  <c r="A153" i="23"/>
  <c r="AE152" i="23"/>
  <c r="Y152" i="23"/>
  <c r="B152" i="23"/>
  <c r="A152" i="23"/>
  <c r="AF151" i="23"/>
  <c r="AE151" i="23"/>
  <c r="AD151" i="23"/>
  <c r="AC151" i="23"/>
  <c r="Z151" i="23"/>
  <c r="B151" i="23"/>
  <c r="A151" i="23"/>
  <c r="AC150" i="23"/>
  <c r="Y150" i="23"/>
  <c r="B150" i="23"/>
  <c r="A150" i="23"/>
  <c r="AF149" i="23"/>
  <c r="AE149" i="23"/>
  <c r="AD149" i="23"/>
  <c r="AC149" i="23"/>
  <c r="AB149" i="23"/>
  <c r="AA149" i="23"/>
  <c r="Z149" i="23"/>
  <c r="Y149" i="23"/>
  <c r="B149" i="23"/>
  <c r="A149" i="23"/>
  <c r="B148" i="23"/>
  <c r="A148" i="23"/>
  <c r="AE147" i="23"/>
  <c r="AD147" i="23"/>
  <c r="AB147" i="23"/>
  <c r="AA147" i="23"/>
  <c r="Y147" i="23"/>
  <c r="B147" i="23"/>
  <c r="A147" i="23"/>
  <c r="B146" i="23"/>
  <c r="A146" i="23"/>
  <c r="AE145" i="23"/>
  <c r="B145" i="23"/>
  <c r="A145" i="23"/>
  <c r="AE144" i="23"/>
  <c r="AD144" i="23"/>
  <c r="AC144" i="23"/>
  <c r="AB144" i="23"/>
  <c r="AA144" i="23"/>
  <c r="Z144" i="23"/>
  <c r="Y144" i="23"/>
  <c r="B138" i="23"/>
  <c r="A138" i="23"/>
  <c r="B137" i="23"/>
  <c r="A137" i="23"/>
  <c r="Z136" i="23"/>
  <c r="Y136" i="23"/>
  <c r="X136" i="23"/>
  <c r="V136" i="23"/>
  <c r="S136" i="23"/>
  <c r="B136" i="23"/>
  <c r="A136" i="23"/>
  <c r="Z135" i="23"/>
  <c r="Y135" i="23"/>
  <c r="X135" i="23"/>
  <c r="W135" i="23"/>
  <c r="V135" i="23"/>
  <c r="T135" i="23"/>
  <c r="S135" i="23"/>
  <c r="B135" i="23"/>
  <c r="U135" i="23" s="1"/>
  <c r="A135" i="23"/>
  <c r="B134" i="23"/>
  <c r="A134" i="23"/>
  <c r="B133" i="23"/>
  <c r="A133" i="23"/>
  <c r="Z132" i="23"/>
  <c r="Y132" i="23"/>
  <c r="W132" i="23"/>
  <c r="V132" i="23"/>
  <c r="U132" i="23"/>
  <c r="S132" i="23"/>
  <c r="B132" i="23"/>
  <c r="X132" i="23" s="1"/>
  <c r="A132" i="23"/>
  <c r="W131" i="23"/>
  <c r="U131" i="23"/>
  <c r="B131" i="23"/>
  <c r="X131" i="23" s="1"/>
  <c r="A131" i="23"/>
  <c r="Y130" i="23"/>
  <c r="S130" i="23"/>
  <c r="B130" i="23"/>
  <c r="A130" i="23"/>
  <c r="Z129" i="23"/>
  <c r="Y129" i="23"/>
  <c r="X129" i="23"/>
  <c r="W129" i="23"/>
  <c r="V129" i="23"/>
  <c r="T129" i="23"/>
  <c r="S129" i="23"/>
  <c r="B129" i="23"/>
  <c r="U129" i="23" s="1"/>
  <c r="A129" i="23"/>
  <c r="Z128" i="23"/>
  <c r="Y128" i="23"/>
  <c r="X128" i="23"/>
  <c r="W128" i="23"/>
  <c r="V128" i="23"/>
  <c r="U128" i="23"/>
  <c r="T128" i="23"/>
  <c r="B128" i="23"/>
  <c r="S128" i="23" s="1"/>
  <c r="A128" i="23"/>
  <c r="V127" i="23"/>
  <c r="U127" i="23"/>
  <c r="T127" i="23"/>
  <c r="S127" i="23"/>
  <c r="B127" i="23"/>
  <c r="A127" i="23"/>
  <c r="B126" i="23"/>
  <c r="A126" i="23"/>
  <c r="Z125" i="23"/>
  <c r="X125" i="23"/>
  <c r="W125" i="23"/>
  <c r="U125" i="23"/>
  <c r="S125" i="23"/>
  <c r="B125" i="23"/>
  <c r="A125" i="23"/>
  <c r="Z124" i="23"/>
  <c r="X124" i="23"/>
  <c r="V124" i="23"/>
  <c r="S124" i="23"/>
  <c r="B124" i="23"/>
  <c r="Y124" i="23" s="1"/>
  <c r="A124" i="23"/>
  <c r="Z123" i="23"/>
  <c r="Y123" i="23"/>
  <c r="X123" i="23"/>
  <c r="W123" i="23"/>
  <c r="V123" i="23"/>
  <c r="T123" i="23"/>
  <c r="S123" i="23"/>
  <c r="B123" i="23"/>
  <c r="U123" i="23" s="1"/>
  <c r="A123" i="23"/>
  <c r="Z122" i="23"/>
  <c r="Y122" i="23"/>
  <c r="X122" i="23"/>
  <c r="V122" i="23"/>
  <c r="B122" i="23"/>
  <c r="A122" i="23"/>
  <c r="Y121" i="23"/>
  <c r="X121" i="23"/>
  <c r="V121" i="23"/>
  <c r="U121" i="23"/>
  <c r="B121" i="23"/>
  <c r="W121" i="23" s="1"/>
  <c r="A121" i="23"/>
  <c r="Y120" i="23"/>
  <c r="W120" i="23"/>
  <c r="U120" i="23"/>
  <c r="T120" i="23"/>
  <c r="S120" i="23"/>
  <c r="B120" i="23"/>
  <c r="A120" i="23"/>
  <c r="X119" i="23"/>
  <c r="S119" i="23"/>
  <c r="B119" i="23"/>
  <c r="A119" i="23"/>
  <c r="Z118" i="23"/>
  <c r="Y118" i="23"/>
  <c r="X118" i="23"/>
  <c r="V118" i="23"/>
  <c r="S118" i="23"/>
  <c r="B118" i="23"/>
  <c r="A118" i="23"/>
  <c r="Z117" i="23"/>
  <c r="Y117" i="23"/>
  <c r="X117" i="23"/>
  <c r="W117" i="23"/>
  <c r="V117" i="23"/>
  <c r="T117" i="23"/>
  <c r="S117" i="23"/>
  <c r="B117" i="23"/>
  <c r="U117" i="23" s="1"/>
  <c r="A117" i="23"/>
  <c r="Z116" i="23"/>
  <c r="V116" i="23"/>
  <c r="U116" i="23"/>
  <c r="B116" i="23"/>
  <c r="W116" i="23" s="1"/>
  <c r="A116" i="23"/>
  <c r="X115" i="23"/>
  <c r="S115" i="23"/>
  <c r="B115" i="23"/>
  <c r="A115" i="23"/>
  <c r="Z114" i="23"/>
  <c r="Y114" i="23"/>
  <c r="W114" i="23"/>
  <c r="V114" i="23"/>
  <c r="U114" i="23"/>
  <c r="S114" i="23"/>
  <c r="B114" i="23"/>
  <c r="X114" i="23" s="1"/>
  <c r="A114" i="23"/>
  <c r="W113" i="23"/>
  <c r="S113" i="23"/>
  <c r="B113" i="23"/>
  <c r="A113" i="23"/>
  <c r="B112" i="23"/>
  <c r="A112" i="23"/>
  <c r="Z111" i="23"/>
  <c r="Y111" i="23"/>
  <c r="X111" i="23"/>
  <c r="W111" i="23"/>
  <c r="V111" i="23"/>
  <c r="T111" i="23"/>
  <c r="S111" i="23"/>
  <c r="B111" i="23"/>
  <c r="U111" i="23" s="1"/>
  <c r="A111" i="23"/>
  <c r="Z110" i="23"/>
  <c r="Y110" i="23"/>
  <c r="X110" i="23"/>
  <c r="W110" i="23"/>
  <c r="V110" i="23"/>
  <c r="U110" i="23"/>
  <c r="T110" i="23"/>
  <c r="B110" i="23"/>
  <c r="S110" i="23" s="1"/>
  <c r="A110" i="23"/>
  <c r="W109" i="23"/>
  <c r="V109" i="23"/>
  <c r="U109" i="23"/>
  <c r="T109" i="23"/>
  <c r="S109" i="23"/>
  <c r="B109" i="23"/>
  <c r="A109" i="23"/>
  <c r="Z108" i="23"/>
  <c r="B108" i="23"/>
  <c r="A108" i="23"/>
  <c r="Z107" i="23"/>
  <c r="X107" i="23"/>
  <c r="W107" i="23"/>
  <c r="U107" i="23"/>
  <c r="S107" i="23"/>
  <c r="B107" i="23"/>
  <c r="A107" i="23"/>
  <c r="Z106" i="23"/>
  <c r="X106" i="23"/>
  <c r="V106" i="23"/>
  <c r="S106" i="23"/>
  <c r="B106" i="23"/>
  <c r="Y106" i="23" s="1"/>
  <c r="A106" i="23"/>
  <c r="Z105" i="23"/>
  <c r="Y105" i="23"/>
  <c r="X105" i="23"/>
  <c r="W105" i="23"/>
  <c r="V105" i="23"/>
  <c r="T105" i="23"/>
  <c r="S105" i="23"/>
  <c r="B105" i="23"/>
  <c r="U105" i="23" s="1"/>
  <c r="A105" i="23"/>
  <c r="Z104" i="23"/>
  <c r="Y104" i="23"/>
  <c r="X104" i="23"/>
  <c r="V104" i="23"/>
  <c r="B104" i="23"/>
  <c r="A104" i="23"/>
  <c r="Y103" i="23"/>
  <c r="X103" i="23"/>
  <c r="V103" i="23"/>
  <c r="U103" i="23"/>
  <c r="B103" i="23"/>
  <c r="W103" i="23" s="1"/>
  <c r="A103" i="23"/>
  <c r="Y102" i="23"/>
  <c r="W102" i="23"/>
  <c r="U102" i="23"/>
  <c r="T102" i="23"/>
  <c r="S102" i="23"/>
  <c r="B102" i="23"/>
  <c r="A102" i="23"/>
  <c r="X101" i="23"/>
  <c r="S101" i="23"/>
  <c r="B101" i="23"/>
  <c r="A101" i="23"/>
  <c r="Z100" i="23"/>
  <c r="Y100" i="23"/>
  <c r="X100" i="23"/>
  <c r="V100" i="23"/>
  <c r="S100" i="23"/>
  <c r="B100" i="23"/>
  <c r="A100" i="23"/>
  <c r="Z99" i="23"/>
  <c r="Y99" i="23"/>
  <c r="X99" i="23"/>
  <c r="W99" i="23"/>
  <c r="V99" i="23"/>
  <c r="T99" i="23"/>
  <c r="S99" i="23"/>
  <c r="B99" i="23"/>
  <c r="U99" i="23" s="1"/>
  <c r="A99" i="23"/>
  <c r="Y98" i="23"/>
  <c r="X98" i="23"/>
  <c r="W98" i="23"/>
  <c r="V98" i="23"/>
  <c r="U98" i="23"/>
  <c r="T98" i="23"/>
  <c r="S98" i="23"/>
  <c r="AE92" i="23"/>
  <c r="AD92" i="23"/>
  <c r="AB92" i="23"/>
  <c r="AA92" i="23"/>
  <c r="Y92" i="23"/>
  <c r="B92" i="23"/>
  <c r="A92" i="23"/>
  <c r="AF91" i="23"/>
  <c r="B91" i="23"/>
  <c r="A91" i="23"/>
  <c r="AE90" i="23"/>
  <c r="AA90" i="23"/>
  <c r="Z90" i="23"/>
  <c r="B90" i="23"/>
  <c r="A90" i="23"/>
  <c r="AF89" i="23"/>
  <c r="AE89" i="23"/>
  <c r="AD89" i="23"/>
  <c r="AC89" i="23"/>
  <c r="AA89" i="23"/>
  <c r="Y89" i="23"/>
  <c r="B89" i="23"/>
  <c r="Z89" i="23" s="1"/>
  <c r="A89" i="23"/>
  <c r="AF88" i="23"/>
  <c r="AE88" i="23"/>
  <c r="AD88" i="23"/>
  <c r="AC88" i="23"/>
  <c r="AB88" i="23"/>
  <c r="AA88" i="23"/>
  <c r="Z88" i="23"/>
  <c r="Y88" i="23"/>
  <c r="B88" i="23"/>
  <c r="A88" i="23"/>
  <c r="AC87" i="23"/>
  <c r="AB87" i="23"/>
  <c r="B87" i="23"/>
  <c r="A87" i="23"/>
  <c r="B86" i="23"/>
  <c r="A86" i="23"/>
  <c r="AF85" i="23"/>
  <c r="AE85" i="23"/>
  <c r="AC85" i="23"/>
  <c r="AB85" i="23"/>
  <c r="Y85" i="23"/>
  <c r="B85" i="23"/>
  <c r="A85" i="23"/>
  <c r="AC84" i="23"/>
  <c r="B84" i="23"/>
  <c r="A84" i="23"/>
  <c r="B83" i="23"/>
  <c r="A83" i="23"/>
  <c r="AF82" i="23"/>
  <c r="AE82" i="23"/>
  <c r="AD82" i="23"/>
  <c r="AC82" i="23"/>
  <c r="AB82" i="23"/>
  <c r="AA82" i="23"/>
  <c r="Z82" i="23"/>
  <c r="Y82" i="23"/>
  <c r="B82" i="23"/>
  <c r="A82" i="23"/>
  <c r="AF81" i="23"/>
  <c r="AD81" i="23"/>
  <c r="AC81" i="23"/>
  <c r="AB81" i="23"/>
  <c r="AA81" i="23"/>
  <c r="Y81" i="23"/>
  <c r="B81" i="23"/>
  <c r="AE81" i="23" s="1"/>
  <c r="A81" i="23"/>
  <c r="AD80" i="23"/>
  <c r="AB80" i="23"/>
  <c r="Z80" i="23"/>
  <c r="B80" i="23"/>
  <c r="AE80" i="23" s="1"/>
  <c r="A80" i="23"/>
  <c r="Z79" i="23"/>
  <c r="Y79" i="23"/>
  <c r="B79" i="23"/>
  <c r="A79" i="23"/>
  <c r="AF78" i="23"/>
  <c r="AE78" i="23"/>
  <c r="AD78" i="23"/>
  <c r="AC78" i="23"/>
  <c r="Z78" i="23"/>
  <c r="B78" i="23"/>
  <c r="A78" i="23"/>
  <c r="AE77" i="23"/>
  <c r="AD77" i="23"/>
  <c r="AC77" i="23"/>
  <c r="AB77" i="23"/>
  <c r="AA77" i="23"/>
  <c r="Y77" i="23"/>
  <c r="B77" i="23"/>
  <c r="Z77" i="23" s="1"/>
  <c r="A77" i="23"/>
  <c r="AF76" i="23"/>
  <c r="AE76" i="23"/>
  <c r="AD76" i="23"/>
  <c r="AC76" i="23"/>
  <c r="AB76" i="23"/>
  <c r="AA76" i="23"/>
  <c r="Z76" i="23"/>
  <c r="Y76" i="23"/>
  <c r="B76" i="23"/>
  <c r="A76" i="23"/>
  <c r="AC75" i="23"/>
  <c r="B75" i="23"/>
  <c r="A75" i="23"/>
  <c r="AE74" i="23"/>
  <c r="AD74" i="23"/>
  <c r="AB74" i="23"/>
  <c r="AA74" i="23"/>
  <c r="Y74" i="23"/>
  <c r="B74" i="23"/>
  <c r="A74" i="23"/>
  <c r="AB73" i="23"/>
  <c r="Y73" i="23"/>
  <c r="B73" i="23"/>
  <c r="A73" i="23"/>
  <c r="AA72" i="23"/>
  <c r="Z72" i="23"/>
  <c r="B72" i="23"/>
  <c r="A72" i="23"/>
  <c r="AE71" i="23"/>
  <c r="AB71" i="23"/>
  <c r="B71" i="23"/>
  <c r="A71" i="23"/>
  <c r="AF70" i="23"/>
  <c r="AE70" i="23"/>
  <c r="AD70" i="23"/>
  <c r="AC70" i="23"/>
  <c r="AB70" i="23"/>
  <c r="Z70" i="23"/>
  <c r="Y70" i="23"/>
  <c r="B70" i="23"/>
  <c r="AA70" i="23" s="1"/>
  <c r="A70" i="23"/>
  <c r="AF69" i="23"/>
  <c r="AE69" i="23"/>
  <c r="AC69" i="23"/>
  <c r="AB69" i="23"/>
  <c r="Z69" i="23"/>
  <c r="B69" i="23"/>
  <c r="Y69" i="23" s="1"/>
  <c r="A69" i="23"/>
  <c r="AE68" i="23"/>
  <c r="AC68" i="23"/>
  <c r="AB68" i="23"/>
  <c r="AA68" i="23"/>
  <c r="Y68" i="23"/>
  <c r="B68" i="23"/>
  <c r="A68" i="23"/>
  <c r="AA67" i="23"/>
  <c r="B67" i="23"/>
  <c r="A67" i="23"/>
  <c r="AD66" i="23"/>
  <c r="AA66" i="23"/>
  <c r="Y66" i="23"/>
  <c r="B66" i="23"/>
  <c r="AF66" i="23" s="1"/>
  <c r="A66" i="23"/>
  <c r="AF65" i="23"/>
  <c r="AD65" i="23"/>
  <c r="AB65" i="23"/>
  <c r="Y65" i="23"/>
  <c r="B65" i="23"/>
  <c r="A65" i="23"/>
  <c r="AF64" i="23"/>
  <c r="AE64" i="23"/>
  <c r="AD64" i="23"/>
  <c r="AC64" i="23"/>
  <c r="AB64" i="23"/>
  <c r="Z64" i="23"/>
  <c r="Y64" i="23"/>
  <c r="B64" i="23"/>
  <c r="AA64" i="23" s="1"/>
  <c r="A64" i="23"/>
  <c r="AF63" i="23"/>
  <c r="AD63" i="23"/>
  <c r="AC63" i="23"/>
  <c r="AA63" i="23"/>
  <c r="B63" i="23"/>
  <c r="Y63" i="23" s="1"/>
  <c r="A63" i="23"/>
  <c r="AD62" i="23"/>
  <c r="AC62" i="23"/>
  <c r="AB62" i="23"/>
  <c r="AA62" i="23"/>
  <c r="Z62" i="23"/>
  <c r="Y62" i="23"/>
  <c r="B62" i="23"/>
  <c r="AF62" i="23" s="1"/>
  <c r="A62" i="23"/>
  <c r="AB61" i="23"/>
  <c r="Z61" i="23"/>
  <c r="Y61" i="23"/>
  <c r="B61" i="23"/>
  <c r="A61" i="23"/>
  <c r="AF60" i="23"/>
  <c r="AD60" i="23"/>
  <c r="Z60" i="23"/>
  <c r="B60" i="23"/>
  <c r="A60" i="23"/>
  <c r="B59" i="23"/>
  <c r="A59" i="23"/>
  <c r="AF58" i="23"/>
  <c r="AE58" i="23"/>
  <c r="AD58" i="23"/>
  <c r="AC58" i="23"/>
  <c r="AB58" i="23"/>
  <c r="Z58" i="23"/>
  <c r="Y58" i="23"/>
  <c r="B58" i="23"/>
  <c r="AA58" i="23" s="1"/>
  <c r="A58" i="23"/>
  <c r="AE57" i="23"/>
  <c r="AD57" i="23"/>
  <c r="AB57" i="23"/>
  <c r="B57" i="23"/>
  <c r="A57" i="23"/>
  <c r="AE56" i="23"/>
  <c r="B56" i="23"/>
  <c r="A56" i="23"/>
  <c r="AF55" i="23"/>
  <c r="AC55" i="23"/>
  <c r="AA55" i="23"/>
  <c r="Z55" i="23"/>
  <c r="Y55" i="23"/>
  <c r="B55" i="23"/>
  <c r="A55" i="23"/>
  <c r="B54" i="23"/>
  <c r="A54" i="23"/>
  <c r="AE53" i="23"/>
  <c r="AD53" i="23"/>
  <c r="Y53" i="23"/>
  <c r="B53" i="23"/>
  <c r="A53" i="23"/>
  <c r="AE52" i="23"/>
  <c r="AD52" i="23"/>
  <c r="AC52" i="23"/>
  <c r="AB52" i="23"/>
  <c r="AA52" i="23"/>
  <c r="Z52" i="23"/>
  <c r="Y52" i="23"/>
  <c r="J17" i="23"/>
  <c r="I17" i="23"/>
  <c r="H17" i="23"/>
  <c r="G17" i="23"/>
  <c r="F17" i="23"/>
  <c r="K16" i="23"/>
  <c r="J16" i="23"/>
  <c r="I16" i="23"/>
  <c r="H16" i="23"/>
  <c r="G16" i="23"/>
  <c r="F16" i="23"/>
  <c r="J15" i="23"/>
  <c r="I15" i="23"/>
  <c r="H15" i="23"/>
  <c r="G15" i="23"/>
  <c r="F15" i="23"/>
  <c r="J14" i="23"/>
  <c r="I14" i="23"/>
  <c r="H14" i="23"/>
  <c r="G14" i="23"/>
  <c r="F14" i="23"/>
  <c r="J13" i="23"/>
  <c r="I13" i="23"/>
  <c r="H13" i="23"/>
  <c r="G13" i="23"/>
  <c r="F13" i="23"/>
  <c r="J12" i="23"/>
  <c r="I12" i="23"/>
  <c r="K12" i="23" s="1"/>
  <c r="H12" i="23"/>
  <c r="G12" i="23"/>
  <c r="F12" i="23"/>
  <c r="J11" i="23"/>
  <c r="I11" i="23"/>
  <c r="H11" i="23"/>
  <c r="G11" i="23"/>
  <c r="F11" i="23"/>
  <c r="E7" i="23"/>
  <c r="D7" i="23"/>
  <c r="C7" i="23"/>
  <c r="B7" i="23"/>
  <c r="A7" i="23"/>
  <c r="A5" i="23"/>
  <c r="J2" i="23"/>
  <c r="H2" i="23"/>
  <c r="F2" i="23"/>
  <c r="D2" i="23"/>
  <c r="B2" i="23"/>
  <c r="A1" i="23"/>
  <c r="P230" i="22"/>
  <c r="B230" i="22"/>
  <c r="A230" i="22"/>
  <c r="U229" i="22"/>
  <c r="R229" i="22"/>
  <c r="P229" i="22"/>
  <c r="B229" i="22"/>
  <c r="W229" i="22" s="1"/>
  <c r="A229" i="22"/>
  <c r="W228" i="22"/>
  <c r="U228" i="22"/>
  <c r="S228" i="22"/>
  <c r="P228" i="22"/>
  <c r="B228" i="22"/>
  <c r="A228" i="22"/>
  <c r="W227" i="22"/>
  <c r="V227" i="22"/>
  <c r="U227" i="22"/>
  <c r="T227" i="22"/>
  <c r="S227" i="22"/>
  <c r="R227" i="22"/>
  <c r="Q227" i="22"/>
  <c r="P227" i="22"/>
  <c r="B227" i="22"/>
  <c r="A227" i="22"/>
  <c r="V226" i="22"/>
  <c r="U226" i="22"/>
  <c r="S226" i="22"/>
  <c r="B226" i="22"/>
  <c r="A226" i="22"/>
  <c r="U225" i="22"/>
  <c r="R225" i="22"/>
  <c r="Q225" i="22"/>
  <c r="B225" i="22"/>
  <c r="A225" i="22"/>
  <c r="W224" i="22"/>
  <c r="T224" i="22"/>
  <c r="R224" i="22"/>
  <c r="Q224" i="22"/>
  <c r="P224" i="22"/>
  <c r="B224" i="22"/>
  <c r="A224" i="22"/>
  <c r="R223" i="22"/>
  <c r="B223" i="22"/>
  <c r="A223" i="22"/>
  <c r="W222" i="22"/>
  <c r="V222" i="22"/>
  <c r="U222" i="22"/>
  <c r="P222" i="22"/>
  <c r="B222" i="22"/>
  <c r="A222" i="22"/>
  <c r="W221" i="22"/>
  <c r="V221" i="22"/>
  <c r="U221" i="22"/>
  <c r="T221" i="22"/>
  <c r="S221" i="22"/>
  <c r="Q221" i="22"/>
  <c r="P221" i="22"/>
  <c r="B221" i="22"/>
  <c r="R221" i="22" s="1"/>
  <c r="A221" i="22"/>
  <c r="W220" i="22"/>
  <c r="V220" i="22"/>
  <c r="U220" i="22"/>
  <c r="T220" i="22"/>
  <c r="S220" i="22"/>
  <c r="R220" i="22"/>
  <c r="Q220" i="22"/>
  <c r="B220" i="22"/>
  <c r="P220" i="22" s="1"/>
  <c r="A220" i="22"/>
  <c r="V219" i="22"/>
  <c r="U219" i="22"/>
  <c r="S219" i="22"/>
  <c r="R219" i="22"/>
  <c r="P219" i="22"/>
  <c r="B219" i="22"/>
  <c r="W219" i="22" s="1"/>
  <c r="A219" i="22"/>
  <c r="W218" i="22"/>
  <c r="B218" i="22"/>
  <c r="A218" i="22"/>
  <c r="W217" i="22"/>
  <c r="U217" i="22"/>
  <c r="R217" i="22"/>
  <c r="Q217" i="22"/>
  <c r="P217" i="22"/>
  <c r="B217" i="22"/>
  <c r="A217" i="22"/>
  <c r="W216" i="22"/>
  <c r="V216" i="22"/>
  <c r="U216" i="22"/>
  <c r="S216" i="22"/>
  <c r="P216" i="22"/>
  <c r="B216" i="22"/>
  <c r="A216" i="22"/>
  <c r="W215" i="22"/>
  <c r="V215" i="22"/>
  <c r="U215" i="22"/>
  <c r="T215" i="22"/>
  <c r="S215" i="22"/>
  <c r="Q215" i="22"/>
  <c r="P215" i="22"/>
  <c r="B215" i="22"/>
  <c r="R215" i="22" s="1"/>
  <c r="A215" i="22"/>
  <c r="U214" i="22"/>
  <c r="R214" i="22"/>
  <c r="B214" i="22"/>
  <c r="W214" i="22" s="1"/>
  <c r="A214" i="22"/>
  <c r="V213" i="22"/>
  <c r="T213" i="22"/>
  <c r="S213" i="22"/>
  <c r="Q213" i="22"/>
  <c r="B213" i="22"/>
  <c r="W213" i="22" s="1"/>
  <c r="A213" i="22"/>
  <c r="V212" i="22"/>
  <c r="T212" i="22"/>
  <c r="S212" i="22"/>
  <c r="R212" i="22"/>
  <c r="Q212" i="22"/>
  <c r="P212" i="22"/>
  <c r="B212" i="22"/>
  <c r="U212" i="22" s="1"/>
  <c r="A212" i="22"/>
  <c r="B211" i="22"/>
  <c r="A211" i="22"/>
  <c r="V210" i="22"/>
  <c r="S210" i="22"/>
  <c r="B210" i="22"/>
  <c r="W210" i="22" s="1"/>
  <c r="A210" i="22"/>
  <c r="W209" i="22"/>
  <c r="V209" i="22"/>
  <c r="U209" i="22"/>
  <c r="T209" i="22"/>
  <c r="S209" i="22"/>
  <c r="Q209" i="22"/>
  <c r="P209" i="22"/>
  <c r="B209" i="22"/>
  <c r="R209" i="22" s="1"/>
  <c r="A209" i="22"/>
  <c r="V208" i="22"/>
  <c r="T208" i="22"/>
  <c r="B208" i="22"/>
  <c r="A208" i="22"/>
  <c r="R207" i="22"/>
  <c r="B207" i="22"/>
  <c r="A207" i="22"/>
  <c r="V206" i="22"/>
  <c r="T206" i="22"/>
  <c r="R206" i="22"/>
  <c r="B206" i="22"/>
  <c r="A206" i="22"/>
  <c r="W205" i="22"/>
  <c r="U205" i="22"/>
  <c r="T205" i="22"/>
  <c r="R205" i="22"/>
  <c r="Q205" i="22"/>
  <c r="P205" i="22"/>
  <c r="B205" i="22"/>
  <c r="A205" i="22"/>
  <c r="U204" i="22"/>
  <c r="R204" i="22"/>
  <c r="P204" i="22"/>
  <c r="B204" i="22"/>
  <c r="A204" i="22"/>
  <c r="W203" i="22"/>
  <c r="V203" i="22"/>
  <c r="U203" i="22"/>
  <c r="T203" i="22"/>
  <c r="S203" i="22"/>
  <c r="Q203" i="22"/>
  <c r="P203" i="22"/>
  <c r="B203" i="22"/>
  <c r="R203" i="22" s="1"/>
  <c r="A203" i="22"/>
  <c r="W202" i="22"/>
  <c r="V202" i="22"/>
  <c r="T202" i="22"/>
  <c r="S202" i="22"/>
  <c r="Q202" i="22"/>
  <c r="B202" i="22"/>
  <c r="P202" i="22" s="1"/>
  <c r="A202" i="22"/>
  <c r="V201" i="22"/>
  <c r="T201" i="22"/>
  <c r="S201" i="22"/>
  <c r="R201" i="22"/>
  <c r="P201" i="22"/>
  <c r="B201" i="22"/>
  <c r="A201" i="22"/>
  <c r="S200" i="22"/>
  <c r="P200" i="22"/>
  <c r="B200" i="22"/>
  <c r="A200" i="22"/>
  <c r="U199" i="22"/>
  <c r="R199" i="22"/>
  <c r="B199" i="22"/>
  <c r="W199" i="22" s="1"/>
  <c r="A199" i="22"/>
  <c r="W198" i="22"/>
  <c r="V198" i="22"/>
  <c r="U198" i="22"/>
  <c r="S198" i="22"/>
  <c r="R198" i="22"/>
  <c r="P198" i="22"/>
  <c r="B198" i="22"/>
  <c r="A198" i="22"/>
  <c r="W197" i="22"/>
  <c r="V197" i="22"/>
  <c r="U197" i="22"/>
  <c r="T197" i="22"/>
  <c r="S197" i="22"/>
  <c r="Q197" i="22"/>
  <c r="P197" i="22"/>
  <c r="B197" i="22"/>
  <c r="R197" i="22" s="1"/>
  <c r="A197" i="22"/>
  <c r="B196" i="22"/>
  <c r="A196" i="22"/>
  <c r="V195" i="22"/>
  <c r="T195" i="22"/>
  <c r="S195" i="22"/>
  <c r="Q195" i="22"/>
  <c r="B195" i="22"/>
  <c r="W195" i="22" s="1"/>
  <c r="A195" i="22"/>
  <c r="V194" i="22"/>
  <c r="T194" i="22"/>
  <c r="S194" i="22"/>
  <c r="R194" i="22"/>
  <c r="Q194" i="22"/>
  <c r="P194" i="22"/>
  <c r="B194" i="22"/>
  <c r="U194" i="22" s="1"/>
  <c r="A194" i="22"/>
  <c r="Q193" i="22"/>
  <c r="P193" i="22"/>
  <c r="B193" i="22"/>
  <c r="A193" i="22"/>
  <c r="W192" i="22"/>
  <c r="V192" i="22"/>
  <c r="B192" i="22"/>
  <c r="A192" i="22"/>
  <c r="W191" i="22"/>
  <c r="V191" i="22"/>
  <c r="U191" i="22"/>
  <c r="T191" i="22"/>
  <c r="S191" i="22"/>
  <c r="Q191" i="22"/>
  <c r="P191" i="22"/>
  <c r="B191" i="22"/>
  <c r="R191" i="22" s="1"/>
  <c r="A191" i="22"/>
  <c r="V190" i="22"/>
  <c r="U190" i="22"/>
  <c r="T190" i="22"/>
  <c r="S190" i="22"/>
  <c r="R190" i="22"/>
  <c r="Q190" i="22"/>
  <c r="P190" i="22"/>
  <c r="AE184" i="22"/>
  <c r="AA184" i="22"/>
  <c r="B184" i="22"/>
  <c r="A184" i="22"/>
  <c r="AF183" i="22"/>
  <c r="AE183" i="22"/>
  <c r="AC183" i="22"/>
  <c r="AB183" i="22"/>
  <c r="Z183" i="22"/>
  <c r="Y183" i="22"/>
  <c r="B183" i="22"/>
  <c r="A183" i="22"/>
  <c r="AA182" i="22"/>
  <c r="Z182" i="22"/>
  <c r="B182" i="22"/>
  <c r="A182" i="22"/>
  <c r="AF181" i="22"/>
  <c r="AE181" i="22"/>
  <c r="AD181" i="22"/>
  <c r="AC181" i="22"/>
  <c r="AB181" i="22"/>
  <c r="AA181" i="22"/>
  <c r="Y181" i="22"/>
  <c r="B181" i="22"/>
  <c r="Z181" i="22" s="1"/>
  <c r="A181" i="22"/>
  <c r="AF180" i="22"/>
  <c r="AE180" i="22"/>
  <c r="AD180" i="22"/>
  <c r="AC180" i="22"/>
  <c r="AB180" i="22"/>
  <c r="AA180" i="22"/>
  <c r="Z180" i="22"/>
  <c r="Y180" i="22"/>
  <c r="B180" i="22"/>
  <c r="A180" i="22"/>
  <c r="AD179" i="22"/>
  <c r="AC179" i="22"/>
  <c r="AB179" i="22"/>
  <c r="AA179" i="22"/>
  <c r="Z179" i="22"/>
  <c r="Y179" i="22"/>
  <c r="B179" i="22"/>
  <c r="AE179" i="22" s="1"/>
  <c r="A179" i="22"/>
  <c r="Z178" i="22"/>
  <c r="Y178" i="22"/>
  <c r="B178" i="22"/>
  <c r="A178" i="22"/>
  <c r="AF177" i="22"/>
  <c r="AE177" i="22"/>
  <c r="Y177" i="22"/>
  <c r="B177" i="22"/>
  <c r="A177" i="22"/>
  <c r="AB176" i="22"/>
  <c r="B176" i="22"/>
  <c r="A176" i="22"/>
  <c r="AF175" i="22"/>
  <c r="AE175" i="22"/>
  <c r="AC175" i="22"/>
  <c r="AB175" i="22"/>
  <c r="AA175" i="22"/>
  <c r="Y175" i="22"/>
  <c r="B175" i="22"/>
  <c r="A175" i="22"/>
  <c r="AF174" i="22"/>
  <c r="AE174" i="22"/>
  <c r="AD174" i="22"/>
  <c r="AC174" i="22"/>
  <c r="AA174" i="22"/>
  <c r="Z174" i="22"/>
  <c r="Y174" i="22"/>
  <c r="B174" i="22"/>
  <c r="AB174" i="22" s="1"/>
  <c r="A174" i="22"/>
  <c r="B173" i="22"/>
  <c r="A173" i="22"/>
  <c r="AF172" i="22"/>
  <c r="AE172" i="22"/>
  <c r="AD172" i="22"/>
  <c r="AC172" i="22"/>
  <c r="AB172" i="22"/>
  <c r="AA172" i="22"/>
  <c r="Z172" i="22"/>
  <c r="Y172" i="22"/>
  <c r="B172" i="22"/>
  <c r="A172" i="22"/>
  <c r="Z171" i="22"/>
  <c r="B171" i="22"/>
  <c r="A171" i="22"/>
  <c r="B170" i="22"/>
  <c r="A170" i="22"/>
  <c r="AF169" i="22"/>
  <c r="AE169" i="22"/>
  <c r="AC169" i="22"/>
  <c r="AB169" i="22"/>
  <c r="AA169" i="22"/>
  <c r="Y169" i="22"/>
  <c r="B169" i="22"/>
  <c r="A169" i="22"/>
  <c r="AF168" i="22"/>
  <c r="AE168" i="22"/>
  <c r="AD168" i="22"/>
  <c r="AC168" i="22"/>
  <c r="AA168" i="22"/>
  <c r="Z168" i="22"/>
  <c r="Y168" i="22"/>
  <c r="B168" i="22"/>
  <c r="AB168" i="22" s="1"/>
  <c r="A168" i="22"/>
  <c r="AA167" i="22"/>
  <c r="B167" i="22"/>
  <c r="A167" i="22"/>
  <c r="AF166" i="22"/>
  <c r="AE166" i="22"/>
  <c r="AD166" i="22"/>
  <c r="AC166" i="22"/>
  <c r="AB166" i="22"/>
  <c r="AA166" i="22"/>
  <c r="Z166" i="22"/>
  <c r="Y166" i="22"/>
  <c r="B166" i="22"/>
  <c r="A166" i="22"/>
  <c r="B165" i="22"/>
  <c r="A165" i="22"/>
  <c r="AA164" i="22"/>
  <c r="B164" i="22"/>
  <c r="A164" i="22"/>
  <c r="AF163" i="22"/>
  <c r="AE163" i="22"/>
  <c r="AC163" i="22"/>
  <c r="AB163" i="22"/>
  <c r="AA163" i="22"/>
  <c r="Y163" i="22"/>
  <c r="B163" i="22"/>
  <c r="A163" i="22"/>
  <c r="AF162" i="22"/>
  <c r="AE162" i="22"/>
  <c r="AD162" i="22"/>
  <c r="AC162" i="22"/>
  <c r="AA162" i="22"/>
  <c r="Z162" i="22"/>
  <c r="Y162" i="22"/>
  <c r="B162" i="22"/>
  <c r="AB162" i="22" s="1"/>
  <c r="A162" i="22"/>
  <c r="AA161" i="22"/>
  <c r="B161" i="22"/>
  <c r="A161" i="22"/>
  <c r="AF160" i="22"/>
  <c r="AE160" i="22"/>
  <c r="AD160" i="22"/>
  <c r="AC160" i="22"/>
  <c r="AB160" i="22"/>
  <c r="AA160" i="22"/>
  <c r="Z160" i="22"/>
  <c r="Y160" i="22"/>
  <c r="B160" i="22"/>
  <c r="A160" i="22"/>
  <c r="AF159" i="22"/>
  <c r="AE159" i="22"/>
  <c r="Z159" i="22"/>
  <c r="B159" i="22"/>
  <c r="A159" i="22"/>
  <c r="AA158" i="22"/>
  <c r="B158" i="22"/>
  <c r="A158" i="22"/>
  <c r="AF157" i="22"/>
  <c r="AE157" i="22"/>
  <c r="AC157" i="22"/>
  <c r="AB157" i="22"/>
  <c r="AA157" i="22"/>
  <c r="Y157" i="22"/>
  <c r="B157" i="22"/>
  <c r="A157" i="22"/>
  <c r="AF156" i="22"/>
  <c r="AE156" i="22"/>
  <c r="AD156" i="22"/>
  <c r="AC156" i="22"/>
  <c r="AA156" i="22"/>
  <c r="Z156" i="22"/>
  <c r="Y156" i="22"/>
  <c r="B156" i="22"/>
  <c r="AB156" i="22" s="1"/>
  <c r="A156" i="22"/>
  <c r="Y155" i="22"/>
  <c r="B155" i="22"/>
  <c r="A155" i="22"/>
  <c r="AF154" i="22"/>
  <c r="AE154" i="22"/>
  <c r="AD154" i="22"/>
  <c r="AC154" i="22"/>
  <c r="AB154" i="22"/>
  <c r="AA154" i="22"/>
  <c r="Z154" i="22"/>
  <c r="Y154" i="22"/>
  <c r="B154" i="22"/>
  <c r="A154" i="22"/>
  <c r="AF153" i="22"/>
  <c r="AE153" i="22"/>
  <c r="AC153" i="22"/>
  <c r="AB153" i="22"/>
  <c r="Z153" i="22"/>
  <c r="Y153" i="22"/>
  <c r="B153" i="22"/>
  <c r="A153" i="22"/>
  <c r="AA152" i="22"/>
  <c r="B152" i="22"/>
  <c r="AD152" i="22" s="1"/>
  <c r="A152" i="22"/>
  <c r="AF151" i="22"/>
  <c r="AE151" i="22"/>
  <c r="B151" i="22"/>
  <c r="A151" i="22"/>
  <c r="AF150" i="22"/>
  <c r="AE150" i="22"/>
  <c r="AD150" i="22"/>
  <c r="AC150" i="22"/>
  <c r="AA150" i="22"/>
  <c r="Z150" i="22"/>
  <c r="Y150" i="22"/>
  <c r="B150" i="22"/>
  <c r="AB150" i="22" s="1"/>
  <c r="A150" i="22"/>
  <c r="AF149" i="22"/>
  <c r="AD149" i="22"/>
  <c r="AB149" i="22"/>
  <c r="AA149" i="22"/>
  <c r="Y149" i="22"/>
  <c r="B149" i="22"/>
  <c r="A149" i="22"/>
  <c r="AF148" i="22"/>
  <c r="AE148" i="22"/>
  <c r="AD148" i="22"/>
  <c r="AC148" i="22"/>
  <c r="AB148" i="22"/>
  <c r="AA148" i="22"/>
  <c r="Z148" i="22"/>
  <c r="Y148" i="22"/>
  <c r="B148" i="22"/>
  <c r="A148" i="22"/>
  <c r="AE147" i="22"/>
  <c r="AC147" i="22"/>
  <c r="AB147" i="22"/>
  <c r="B147" i="22"/>
  <c r="AF147" i="22" s="1"/>
  <c r="A147" i="22"/>
  <c r="AD146" i="22"/>
  <c r="AC146" i="22"/>
  <c r="AA146" i="22"/>
  <c r="B146" i="22"/>
  <c r="A146" i="22"/>
  <c r="AA145" i="22"/>
  <c r="B145" i="22"/>
  <c r="A145" i="22"/>
  <c r="AE144" i="22"/>
  <c r="AD144" i="22"/>
  <c r="AC144" i="22"/>
  <c r="AB144" i="22"/>
  <c r="AA144" i="22"/>
  <c r="Z144" i="22"/>
  <c r="Y144" i="22"/>
  <c r="Z138" i="22"/>
  <c r="X138" i="22"/>
  <c r="U138" i="22"/>
  <c r="T138" i="22"/>
  <c r="S138" i="22"/>
  <c r="B138" i="22"/>
  <c r="A138" i="22"/>
  <c r="U137" i="22"/>
  <c r="B137" i="22"/>
  <c r="A137" i="22"/>
  <c r="Z136" i="22"/>
  <c r="X136" i="22"/>
  <c r="W136" i="22"/>
  <c r="V136" i="22"/>
  <c r="U136" i="22"/>
  <c r="T136" i="22"/>
  <c r="S136" i="22"/>
  <c r="B136" i="22"/>
  <c r="Y136" i="22" s="1"/>
  <c r="A136" i="22"/>
  <c r="Y135" i="22"/>
  <c r="X135" i="22"/>
  <c r="V135" i="22"/>
  <c r="T135" i="22"/>
  <c r="S135" i="22"/>
  <c r="B135" i="22"/>
  <c r="W135" i="22" s="1"/>
  <c r="A135" i="22"/>
  <c r="W134" i="22"/>
  <c r="B134" i="22"/>
  <c r="A134" i="22"/>
  <c r="B133" i="22"/>
  <c r="A133" i="22"/>
  <c r="Z132" i="22"/>
  <c r="Y132" i="22"/>
  <c r="X132" i="22"/>
  <c r="W132" i="22"/>
  <c r="U132" i="22"/>
  <c r="T132" i="22"/>
  <c r="S132" i="22"/>
  <c r="B132" i="22"/>
  <c r="V132" i="22" s="1"/>
  <c r="A132" i="22"/>
  <c r="V131" i="22"/>
  <c r="B131" i="22"/>
  <c r="A131" i="22"/>
  <c r="Z130" i="22"/>
  <c r="X130" i="22"/>
  <c r="W130" i="22"/>
  <c r="V130" i="22"/>
  <c r="U130" i="22"/>
  <c r="T130" i="22"/>
  <c r="S130" i="22"/>
  <c r="B130" i="22"/>
  <c r="Y130" i="22" s="1"/>
  <c r="A130" i="22"/>
  <c r="X129" i="22"/>
  <c r="B129" i="22"/>
  <c r="A129" i="22"/>
  <c r="Y128" i="22"/>
  <c r="X128" i="22"/>
  <c r="W128" i="22"/>
  <c r="T128" i="22"/>
  <c r="S128" i="22"/>
  <c r="B128" i="22"/>
  <c r="V128" i="22" s="1"/>
  <c r="A128" i="22"/>
  <c r="W127" i="22"/>
  <c r="B127" i="22"/>
  <c r="A127" i="22"/>
  <c r="Z126" i="22"/>
  <c r="Y126" i="22"/>
  <c r="X126" i="22"/>
  <c r="W126" i="22"/>
  <c r="T126" i="22"/>
  <c r="S126" i="22"/>
  <c r="B126" i="22"/>
  <c r="V126" i="22" s="1"/>
  <c r="A126" i="22"/>
  <c r="Z125" i="22"/>
  <c r="Y125" i="22"/>
  <c r="X125" i="22"/>
  <c r="W125" i="22"/>
  <c r="V125" i="22"/>
  <c r="U125" i="22"/>
  <c r="S125" i="22"/>
  <c r="B125" i="22"/>
  <c r="T125" i="22" s="1"/>
  <c r="A125" i="22"/>
  <c r="Z124" i="22"/>
  <c r="X124" i="22"/>
  <c r="W124" i="22"/>
  <c r="V124" i="22"/>
  <c r="U124" i="22"/>
  <c r="T124" i="22"/>
  <c r="S124" i="22"/>
  <c r="B124" i="22"/>
  <c r="Y124" i="22" s="1"/>
  <c r="A124" i="22"/>
  <c r="V123" i="22"/>
  <c r="S123" i="22"/>
  <c r="B123" i="22"/>
  <c r="A123" i="22"/>
  <c r="B122" i="22"/>
  <c r="A122" i="22"/>
  <c r="Z121" i="22"/>
  <c r="Y121" i="22"/>
  <c r="W121" i="22"/>
  <c r="U121" i="22"/>
  <c r="T121" i="22"/>
  <c r="B121" i="22"/>
  <c r="V121" i="22" s="1"/>
  <c r="A121" i="22"/>
  <c r="Y120" i="22"/>
  <c r="X120" i="22"/>
  <c r="U120" i="22"/>
  <c r="T120" i="22"/>
  <c r="S120" i="22"/>
  <c r="B120" i="22"/>
  <c r="V120" i="22" s="1"/>
  <c r="A120" i="22"/>
  <c r="Z119" i="22"/>
  <c r="U119" i="22"/>
  <c r="B119" i="22"/>
  <c r="A119" i="22"/>
  <c r="Z118" i="22"/>
  <c r="X118" i="22"/>
  <c r="W118" i="22"/>
  <c r="V118" i="22"/>
  <c r="U118" i="22"/>
  <c r="T118" i="22"/>
  <c r="S118" i="22"/>
  <c r="B118" i="22"/>
  <c r="Y118" i="22" s="1"/>
  <c r="A118" i="22"/>
  <c r="Y117" i="22"/>
  <c r="X117" i="22"/>
  <c r="V117" i="22"/>
  <c r="T117" i="22"/>
  <c r="S117" i="22"/>
  <c r="B117" i="22"/>
  <c r="W117" i="22" s="1"/>
  <c r="A117" i="22"/>
  <c r="W116" i="22"/>
  <c r="T116" i="22"/>
  <c r="S116" i="22"/>
  <c r="B116" i="22"/>
  <c r="A116" i="22"/>
  <c r="Z115" i="22"/>
  <c r="B115" i="22"/>
  <c r="A115" i="22"/>
  <c r="Z114" i="22"/>
  <c r="Y114" i="22"/>
  <c r="X114" i="22"/>
  <c r="W114" i="22"/>
  <c r="U114" i="22"/>
  <c r="T114" i="22"/>
  <c r="S114" i="22"/>
  <c r="B114" i="22"/>
  <c r="V114" i="22" s="1"/>
  <c r="A114" i="22"/>
  <c r="B113" i="22"/>
  <c r="A113" i="22"/>
  <c r="Z112" i="22"/>
  <c r="X112" i="22"/>
  <c r="W112" i="22"/>
  <c r="V112" i="22"/>
  <c r="U112" i="22"/>
  <c r="T112" i="22"/>
  <c r="S112" i="22"/>
  <c r="B112" i="22"/>
  <c r="Y112" i="22" s="1"/>
  <c r="A112" i="22"/>
  <c r="Y111" i="22"/>
  <c r="X111" i="22"/>
  <c r="B111" i="22"/>
  <c r="A111" i="22"/>
  <c r="Y110" i="22"/>
  <c r="X110" i="22"/>
  <c r="W110" i="22"/>
  <c r="T110" i="22"/>
  <c r="S110" i="22"/>
  <c r="B110" i="22"/>
  <c r="V110" i="22" s="1"/>
  <c r="A110" i="22"/>
  <c r="W109" i="22"/>
  <c r="U109" i="22"/>
  <c r="T109" i="22"/>
  <c r="B109" i="22"/>
  <c r="A109" i="22"/>
  <c r="Z108" i="22"/>
  <c r="Y108" i="22"/>
  <c r="X108" i="22"/>
  <c r="W108" i="22"/>
  <c r="T108" i="22"/>
  <c r="S108" i="22"/>
  <c r="B108" i="22"/>
  <c r="V108" i="22" s="1"/>
  <c r="A108" i="22"/>
  <c r="Z107" i="22"/>
  <c r="Y107" i="22"/>
  <c r="X107" i="22"/>
  <c r="W107" i="22"/>
  <c r="V107" i="22"/>
  <c r="U107" i="22"/>
  <c r="S107" i="22"/>
  <c r="B107" i="22"/>
  <c r="T107" i="22" s="1"/>
  <c r="A107" i="22"/>
  <c r="Z106" i="22"/>
  <c r="X106" i="22"/>
  <c r="W106" i="22"/>
  <c r="V106" i="22"/>
  <c r="U106" i="22"/>
  <c r="T106" i="22"/>
  <c r="S106" i="22"/>
  <c r="B106" i="22"/>
  <c r="Y106" i="22" s="1"/>
  <c r="A106" i="22"/>
  <c r="V105" i="22"/>
  <c r="T105" i="22"/>
  <c r="S105" i="22"/>
  <c r="B105" i="22"/>
  <c r="A105" i="22"/>
  <c r="B104" i="22"/>
  <c r="A104" i="22"/>
  <c r="Z103" i="22"/>
  <c r="Y103" i="22"/>
  <c r="W103" i="22"/>
  <c r="U103" i="22"/>
  <c r="T103" i="22"/>
  <c r="B103" i="22"/>
  <c r="V103" i="22" s="1"/>
  <c r="A103" i="22"/>
  <c r="Y102" i="22"/>
  <c r="X102" i="22"/>
  <c r="U102" i="22"/>
  <c r="T102" i="22"/>
  <c r="S102" i="22"/>
  <c r="B102" i="22"/>
  <c r="V102" i="22" s="1"/>
  <c r="A102" i="22"/>
  <c r="Z101" i="22"/>
  <c r="U101" i="22"/>
  <c r="B101" i="22"/>
  <c r="A101" i="22"/>
  <c r="Z100" i="22"/>
  <c r="X100" i="22"/>
  <c r="W100" i="22"/>
  <c r="V100" i="22"/>
  <c r="U100" i="22"/>
  <c r="T100" i="22"/>
  <c r="S100" i="22"/>
  <c r="B100" i="22"/>
  <c r="Y100" i="22" s="1"/>
  <c r="A100" i="22"/>
  <c r="Y99" i="22"/>
  <c r="X99" i="22"/>
  <c r="V99" i="22"/>
  <c r="T99" i="22"/>
  <c r="S99" i="22"/>
  <c r="B99" i="22"/>
  <c r="W99" i="22" s="1"/>
  <c r="A99" i="22"/>
  <c r="Y98" i="22"/>
  <c r="X98" i="22"/>
  <c r="W98" i="22"/>
  <c r="V98" i="22"/>
  <c r="U98" i="22"/>
  <c r="T98" i="22"/>
  <c r="S98" i="22"/>
  <c r="AE92" i="22"/>
  <c r="B92" i="22"/>
  <c r="A92" i="22"/>
  <c r="AE91" i="22"/>
  <c r="AD91" i="22"/>
  <c r="AC91" i="22"/>
  <c r="AA91" i="22"/>
  <c r="Z91" i="22"/>
  <c r="B91" i="22"/>
  <c r="AB91" i="22" s="1"/>
  <c r="A91" i="22"/>
  <c r="AE90" i="22"/>
  <c r="AC90" i="22"/>
  <c r="AA90" i="22"/>
  <c r="Z90" i="22"/>
  <c r="Y90" i="22"/>
  <c r="B90" i="22"/>
  <c r="AD90" i="22" s="1"/>
  <c r="A90" i="22"/>
  <c r="Z89" i="22"/>
  <c r="B89" i="22"/>
  <c r="A89" i="22"/>
  <c r="AF88" i="22"/>
  <c r="AD88" i="22"/>
  <c r="AC88" i="22"/>
  <c r="AB88" i="22"/>
  <c r="AA88" i="22"/>
  <c r="Y88" i="22"/>
  <c r="B88" i="22"/>
  <c r="A88" i="22"/>
  <c r="AF87" i="22"/>
  <c r="AE87" i="22"/>
  <c r="AD87" i="22"/>
  <c r="AC87" i="22"/>
  <c r="AB87" i="22"/>
  <c r="AA87" i="22"/>
  <c r="Z87" i="22"/>
  <c r="Y87" i="22"/>
  <c r="B87" i="22"/>
  <c r="A87" i="22"/>
  <c r="AE86" i="22"/>
  <c r="AD86" i="22"/>
  <c r="AB86" i="22"/>
  <c r="Z86" i="22"/>
  <c r="Y86" i="22"/>
  <c r="B86" i="22"/>
  <c r="AA86" i="22" s="1"/>
  <c r="A86" i="22"/>
  <c r="AE85" i="22"/>
  <c r="AD85" i="22"/>
  <c r="AC85" i="22"/>
  <c r="AA85" i="22"/>
  <c r="Z85" i="22"/>
  <c r="B85" i="22"/>
  <c r="A85" i="22"/>
  <c r="AF84" i="22"/>
  <c r="AE84" i="22"/>
  <c r="AC84" i="22"/>
  <c r="AB84" i="22"/>
  <c r="AA84" i="22"/>
  <c r="Z84" i="22"/>
  <c r="Y84" i="22"/>
  <c r="B84" i="22"/>
  <c r="AD84" i="22" s="1"/>
  <c r="A84" i="22"/>
  <c r="B83" i="22"/>
  <c r="A83" i="22"/>
  <c r="B82" i="22"/>
  <c r="A82" i="22"/>
  <c r="AF81" i="22"/>
  <c r="AE81" i="22"/>
  <c r="AD81" i="22"/>
  <c r="AC81" i="22"/>
  <c r="AB81" i="22"/>
  <c r="AA81" i="22"/>
  <c r="Z81" i="22"/>
  <c r="Y81" i="22"/>
  <c r="B81" i="22"/>
  <c r="A81" i="22"/>
  <c r="AF80" i="22"/>
  <c r="AE80" i="22"/>
  <c r="AD80" i="22"/>
  <c r="AC80" i="22"/>
  <c r="AB80" i="22"/>
  <c r="Z80" i="22"/>
  <c r="Y80" i="22"/>
  <c r="B80" i="22"/>
  <c r="AA80" i="22" s="1"/>
  <c r="A80" i="22"/>
  <c r="AE79" i="22"/>
  <c r="AC79" i="22"/>
  <c r="AB79" i="22"/>
  <c r="AA79" i="22"/>
  <c r="B79" i="22"/>
  <c r="A79" i="22"/>
  <c r="Y78" i="22"/>
  <c r="B78" i="22"/>
  <c r="A78" i="22"/>
  <c r="AE77" i="22"/>
  <c r="AD77" i="22"/>
  <c r="B77" i="22"/>
  <c r="A77" i="22"/>
  <c r="AF76" i="22"/>
  <c r="AD76" i="22"/>
  <c r="AC76" i="22"/>
  <c r="AA76" i="22"/>
  <c r="Y76" i="22"/>
  <c r="B76" i="22"/>
  <c r="AB76" i="22" s="1"/>
  <c r="A76" i="22"/>
  <c r="AF75" i="22"/>
  <c r="AE75" i="22"/>
  <c r="AD75" i="22"/>
  <c r="AC75" i="22"/>
  <c r="AB75" i="22"/>
  <c r="AA75" i="22"/>
  <c r="Z75" i="22"/>
  <c r="Y75" i="22"/>
  <c r="B75" i="22"/>
  <c r="A75" i="22"/>
  <c r="AB74" i="22"/>
  <c r="Y74" i="22"/>
  <c r="B74" i="22"/>
  <c r="A74" i="22"/>
  <c r="AD73" i="22"/>
  <c r="AC73" i="22"/>
  <c r="AB73" i="22"/>
  <c r="B73" i="22"/>
  <c r="AE73" i="22" s="1"/>
  <c r="A73" i="22"/>
  <c r="AE72" i="22"/>
  <c r="AC72" i="22"/>
  <c r="AB72" i="22"/>
  <c r="Z72" i="22"/>
  <c r="Y72" i="22"/>
  <c r="B72" i="22"/>
  <c r="AD72" i="22" s="1"/>
  <c r="A72" i="22"/>
  <c r="AE71" i="22"/>
  <c r="AD71" i="22"/>
  <c r="AA71" i="22"/>
  <c r="Z71" i="22"/>
  <c r="Y71" i="22"/>
  <c r="B71" i="22"/>
  <c r="AB71" i="22" s="1"/>
  <c r="A71" i="22"/>
  <c r="AF70" i="22"/>
  <c r="AD70" i="22"/>
  <c r="AC70" i="22"/>
  <c r="AA70" i="22"/>
  <c r="Y70" i="22"/>
  <c r="B70" i="22"/>
  <c r="A70" i="22"/>
  <c r="AF69" i="22"/>
  <c r="AE69" i="22"/>
  <c r="AD69" i="22"/>
  <c r="AC69" i="22"/>
  <c r="AB69" i="22"/>
  <c r="AA69" i="22"/>
  <c r="Z69" i="22"/>
  <c r="Y69" i="22"/>
  <c r="B69" i="22"/>
  <c r="A69" i="22"/>
  <c r="AE68" i="22"/>
  <c r="AD68" i="22"/>
  <c r="AC68" i="22"/>
  <c r="Z68" i="22"/>
  <c r="Y68" i="22"/>
  <c r="B68" i="22"/>
  <c r="AA68" i="22" s="1"/>
  <c r="A68" i="22"/>
  <c r="AC67" i="22"/>
  <c r="AA67" i="22"/>
  <c r="Z67" i="22"/>
  <c r="B67" i="22"/>
  <c r="A67" i="22"/>
  <c r="AF66" i="22"/>
  <c r="AE66" i="22"/>
  <c r="AC66" i="22"/>
  <c r="AB66" i="22"/>
  <c r="Z66" i="22"/>
  <c r="Y66" i="22"/>
  <c r="B66" i="22"/>
  <c r="AD66" i="22" s="1"/>
  <c r="A66" i="22"/>
  <c r="AF65" i="22"/>
  <c r="AE65" i="22"/>
  <c r="AD65" i="22"/>
  <c r="AC65" i="22"/>
  <c r="AA65" i="22"/>
  <c r="Z65" i="22"/>
  <c r="Y65" i="22"/>
  <c r="B65" i="22"/>
  <c r="AB65" i="22" s="1"/>
  <c r="A65" i="22"/>
  <c r="AA64" i="22"/>
  <c r="B64" i="22"/>
  <c r="A64" i="22"/>
  <c r="AF63" i="22"/>
  <c r="AE63" i="22"/>
  <c r="AD63" i="22"/>
  <c r="AC63" i="22"/>
  <c r="AB63" i="22"/>
  <c r="AA63" i="22"/>
  <c r="Z63" i="22"/>
  <c r="Y63" i="22"/>
  <c r="B63" i="22"/>
  <c r="A63" i="22"/>
  <c r="AF62" i="22"/>
  <c r="AE62" i="22"/>
  <c r="AD62" i="22"/>
  <c r="AC62" i="22"/>
  <c r="Z62" i="22"/>
  <c r="Y62" i="22"/>
  <c r="B62" i="22"/>
  <c r="AA62" i="22" s="1"/>
  <c r="A62" i="22"/>
  <c r="AE61" i="22"/>
  <c r="AD61" i="22"/>
  <c r="AC61" i="22"/>
  <c r="AB61" i="22"/>
  <c r="AA61" i="22"/>
  <c r="Z61" i="22"/>
  <c r="B61" i="22"/>
  <c r="A61" i="22"/>
  <c r="AE60" i="22"/>
  <c r="AB60" i="22"/>
  <c r="AA60" i="22"/>
  <c r="Z60" i="22"/>
  <c r="B60" i="22"/>
  <c r="A60" i="22"/>
  <c r="B59" i="22"/>
  <c r="A59" i="22"/>
  <c r="AD58" i="22"/>
  <c r="AC58" i="22"/>
  <c r="AB58" i="22"/>
  <c r="B58" i="22"/>
  <c r="AF58" i="22" s="1"/>
  <c r="A58" i="22"/>
  <c r="AF57" i="22"/>
  <c r="AE57" i="22"/>
  <c r="AD57" i="22"/>
  <c r="AC57" i="22"/>
  <c r="AB57" i="22"/>
  <c r="AA57" i="22"/>
  <c r="Z57" i="22"/>
  <c r="Y57" i="22"/>
  <c r="B57" i="22"/>
  <c r="A57" i="22"/>
  <c r="AB56" i="22"/>
  <c r="B56" i="22"/>
  <c r="AE56" i="22" s="1"/>
  <c r="A56" i="22"/>
  <c r="B55" i="22"/>
  <c r="A55" i="22"/>
  <c r="AF54" i="22"/>
  <c r="AC54" i="22"/>
  <c r="AB54" i="22"/>
  <c r="AA54" i="22"/>
  <c r="B54" i="22"/>
  <c r="AD54" i="22" s="1"/>
  <c r="A54" i="22"/>
  <c r="AE53" i="22"/>
  <c r="AD53" i="22"/>
  <c r="AC53" i="22"/>
  <c r="Z53" i="22"/>
  <c r="Y53" i="22"/>
  <c r="B53" i="22"/>
  <c r="AB53" i="22" s="1"/>
  <c r="A53" i="22"/>
  <c r="AE52" i="22"/>
  <c r="AD52" i="22"/>
  <c r="AC52" i="22"/>
  <c r="AB52" i="22"/>
  <c r="AA52" i="22"/>
  <c r="Z52" i="22"/>
  <c r="Y52" i="22"/>
  <c r="J17" i="22"/>
  <c r="I17" i="22"/>
  <c r="H17" i="22"/>
  <c r="K17" i="22" s="1"/>
  <c r="G17" i="22"/>
  <c r="F17" i="22"/>
  <c r="J16" i="22"/>
  <c r="I16" i="22"/>
  <c r="H16" i="22"/>
  <c r="G16" i="22"/>
  <c r="F16" i="22"/>
  <c r="J15" i="22"/>
  <c r="I15" i="22"/>
  <c r="H15" i="22"/>
  <c r="K15" i="22" s="1"/>
  <c r="G15" i="22"/>
  <c r="F15" i="22"/>
  <c r="J14" i="22"/>
  <c r="I14" i="22"/>
  <c r="H14" i="22"/>
  <c r="G14" i="22"/>
  <c r="F14" i="22"/>
  <c r="J13" i="22"/>
  <c r="I13" i="22"/>
  <c r="H13" i="22"/>
  <c r="G13" i="22"/>
  <c r="K13" i="22" s="1"/>
  <c r="F13" i="22"/>
  <c r="J12" i="22"/>
  <c r="I12" i="22"/>
  <c r="H12" i="22"/>
  <c r="G12" i="22"/>
  <c r="K12" i="22" s="1"/>
  <c r="F12" i="22"/>
  <c r="J11" i="22"/>
  <c r="K11" i="22" s="1"/>
  <c r="I11" i="22"/>
  <c r="H11" i="22"/>
  <c r="G11" i="22"/>
  <c r="F11" i="22"/>
  <c r="E7" i="22"/>
  <c r="D7" i="22"/>
  <c r="C7" i="22"/>
  <c r="B7" i="22"/>
  <c r="A7" i="22"/>
  <c r="A5" i="22"/>
  <c r="J2" i="22"/>
  <c r="H2" i="22"/>
  <c r="F2" i="22"/>
  <c r="D2" i="22"/>
  <c r="B2" i="22"/>
  <c r="A1" i="22"/>
  <c r="B230" i="21"/>
  <c r="A230" i="21"/>
  <c r="B229" i="21"/>
  <c r="A229" i="21"/>
  <c r="B228" i="21"/>
  <c r="A228" i="21"/>
  <c r="W227" i="21"/>
  <c r="U227" i="21"/>
  <c r="T227" i="21"/>
  <c r="R227" i="21"/>
  <c r="P227" i="21"/>
  <c r="B227" i="21"/>
  <c r="S227" i="21" s="1"/>
  <c r="A227" i="21"/>
  <c r="W226" i="21"/>
  <c r="V226" i="21"/>
  <c r="U226" i="21"/>
  <c r="T226" i="21"/>
  <c r="S226" i="21"/>
  <c r="R226" i="21"/>
  <c r="Q226" i="21"/>
  <c r="P226" i="21"/>
  <c r="B226" i="21"/>
  <c r="A226" i="21"/>
  <c r="P225" i="21"/>
  <c r="B225" i="21"/>
  <c r="A225" i="21"/>
  <c r="V224" i="21"/>
  <c r="U224" i="21"/>
  <c r="T224" i="21"/>
  <c r="S224" i="21"/>
  <c r="B224" i="21"/>
  <c r="A224" i="21"/>
  <c r="V223" i="21"/>
  <c r="T223" i="21"/>
  <c r="S223" i="21"/>
  <c r="Q223" i="21"/>
  <c r="P223" i="21"/>
  <c r="B223" i="21"/>
  <c r="U223" i="21" s="1"/>
  <c r="A223" i="21"/>
  <c r="U222" i="21"/>
  <c r="R222" i="21"/>
  <c r="Q222" i="21"/>
  <c r="P222" i="21"/>
  <c r="B222" i="21"/>
  <c r="S222" i="21" s="1"/>
  <c r="A222" i="21"/>
  <c r="W221" i="21"/>
  <c r="U221" i="21"/>
  <c r="T221" i="21"/>
  <c r="R221" i="21"/>
  <c r="P221" i="21"/>
  <c r="B221" i="21"/>
  <c r="A221" i="21"/>
  <c r="W220" i="21"/>
  <c r="V220" i="21"/>
  <c r="U220" i="21"/>
  <c r="T220" i="21"/>
  <c r="S220" i="21"/>
  <c r="R220" i="21"/>
  <c r="Q220" i="21"/>
  <c r="P220" i="21"/>
  <c r="B220" i="21"/>
  <c r="A220" i="21"/>
  <c r="V219" i="21"/>
  <c r="U219" i="21"/>
  <c r="T219" i="21"/>
  <c r="Q219" i="21"/>
  <c r="P219" i="21"/>
  <c r="B219" i="21"/>
  <c r="R219" i="21" s="1"/>
  <c r="A219" i="21"/>
  <c r="B218" i="21"/>
  <c r="A218" i="21"/>
  <c r="W217" i="21"/>
  <c r="V217" i="21"/>
  <c r="T217" i="21"/>
  <c r="S217" i="21"/>
  <c r="Q217" i="21"/>
  <c r="P217" i="21"/>
  <c r="B217" i="21"/>
  <c r="U217" i="21" s="1"/>
  <c r="A217" i="21"/>
  <c r="W216" i="21"/>
  <c r="V216" i="21"/>
  <c r="U216" i="21"/>
  <c r="T216" i="21"/>
  <c r="R216" i="21"/>
  <c r="Q216" i="21"/>
  <c r="P216" i="21"/>
  <c r="B216" i="21"/>
  <c r="S216" i="21" s="1"/>
  <c r="A216" i="21"/>
  <c r="B215" i="21"/>
  <c r="A215" i="21"/>
  <c r="W214" i="21"/>
  <c r="V214" i="21"/>
  <c r="U214" i="21"/>
  <c r="S214" i="21"/>
  <c r="R214" i="21"/>
  <c r="Q214" i="21"/>
  <c r="P214" i="21"/>
  <c r="B214" i="21"/>
  <c r="T214" i="21" s="1"/>
  <c r="A214" i="21"/>
  <c r="B213" i="21"/>
  <c r="A213" i="21"/>
  <c r="V212" i="21"/>
  <c r="U212" i="21"/>
  <c r="T212" i="21"/>
  <c r="R212" i="21"/>
  <c r="Q212" i="21"/>
  <c r="B212" i="21"/>
  <c r="S212" i="21" s="1"/>
  <c r="A212" i="21"/>
  <c r="T211" i="21"/>
  <c r="R211" i="21"/>
  <c r="Q211" i="21"/>
  <c r="P211" i="21"/>
  <c r="B211" i="21"/>
  <c r="U211" i="21" s="1"/>
  <c r="A211" i="21"/>
  <c r="W210" i="21"/>
  <c r="Q210" i="21"/>
  <c r="B210" i="21"/>
  <c r="A210" i="21"/>
  <c r="W209" i="21"/>
  <c r="U209" i="21"/>
  <c r="T209" i="21"/>
  <c r="S209" i="21"/>
  <c r="R209" i="21"/>
  <c r="P209" i="21"/>
  <c r="B209" i="21"/>
  <c r="A209" i="21"/>
  <c r="W208" i="21"/>
  <c r="V208" i="21"/>
  <c r="U208" i="21"/>
  <c r="T208" i="21"/>
  <c r="S208" i="21"/>
  <c r="R208" i="21"/>
  <c r="Q208" i="21"/>
  <c r="P208" i="21"/>
  <c r="B208" i="21"/>
  <c r="A208" i="21"/>
  <c r="U207" i="21"/>
  <c r="S207" i="21"/>
  <c r="Q207" i="21"/>
  <c r="P207" i="21"/>
  <c r="B207" i="21"/>
  <c r="R207" i="21" s="1"/>
  <c r="A207" i="21"/>
  <c r="V206" i="21"/>
  <c r="U206" i="21"/>
  <c r="T206" i="21"/>
  <c r="R206" i="21"/>
  <c r="Q206" i="21"/>
  <c r="B206" i="21"/>
  <c r="A206" i="21"/>
  <c r="W205" i="21"/>
  <c r="V205" i="21"/>
  <c r="T205" i="21"/>
  <c r="S205" i="21"/>
  <c r="R205" i="21"/>
  <c r="Q205" i="21"/>
  <c r="P205" i="21"/>
  <c r="B205" i="21"/>
  <c r="U205" i="21" s="1"/>
  <c r="A205" i="21"/>
  <c r="U204" i="21"/>
  <c r="R204" i="21"/>
  <c r="P204" i="21"/>
  <c r="B204" i="21"/>
  <c r="A204" i="21"/>
  <c r="S203" i="21"/>
  <c r="P203" i="21"/>
  <c r="B203" i="21"/>
  <c r="A203" i="21"/>
  <c r="W202" i="21"/>
  <c r="V202" i="21"/>
  <c r="U202" i="21"/>
  <c r="T202" i="21"/>
  <c r="S202" i="21"/>
  <c r="R202" i="21"/>
  <c r="Q202" i="21"/>
  <c r="P202" i="21"/>
  <c r="B202" i="21"/>
  <c r="A202" i="21"/>
  <c r="W201" i="21"/>
  <c r="V201" i="21"/>
  <c r="U201" i="21"/>
  <c r="T201" i="21"/>
  <c r="S201" i="21"/>
  <c r="Q201" i="21"/>
  <c r="P201" i="21"/>
  <c r="B201" i="21"/>
  <c r="R201" i="21" s="1"/>
  <c r="A201" i="21"/>
  <c r="S200" i="21"/>
  <c r="B200" i="21"/>
  <c r="V200" i="21" s="1"/>
  <c r="A200" i="21"/>
  <c r="R199" i="21"/>
  <c r="P199" i="21"/>
  <c r="B199" i="21"/>
  <c r="A199" i="21"/>
  <c r="V198" i="21"/>
  <c r="U198" i="21"/>
  <c r="B198" i="21"/>
  <c r="A198" i="21"/>
  <c r="W197" i="21"/>
  <c r="U197" i="21"/>
  <c r="T197" i="21"/>
  <c r="R197" i="21"/>
  <c r="P197" i="21"/>
  <c r="B197" i="21"/>
  <c r="S197" i="21" s="1"/>
  <c r="A197" i="21"/>
  <c r="W196" i="21"/>
  <c r="V196" i="21"/>
  <c r="U196" i="21"/>
  <c r="S196" i="21"/>
  <c r="R196" i="21"/>
  <c r="Q196" i="21"/>
  <c r="P196" i="21"/>
  <c r="B196" i="21"/>
  <c r="T196" i="21" s="1"/>
  <c r="A196" i="21"/>
  <c r="W195" i="21"/>
  <c r="Q195" i="21"/>
  <c r="B195" i="21"/>
  <c r="A195" i="21"/>
  <c r="V194" i="21"/>
  <c r="U194" i="21"/>
  <c r="T194" i="21"/>
  <c r="S194" i="21"/>
  <c r="R194" i="21"/>
  <c r="Q194" i="21"/>
  <c r="B194" i="21"/>
  <c r="A194" i="21"/>
  <c r="W193" i="21"/>
  <c r="P193" i="21"/>
  <c r="B193" i="21"/>
  <c r="A193" i="21"/>
  <c r="Q192" i="21"/>
  <c r="B192" i="21"/>
  <c r="T192" i="21" s="1"/>
  <c r="A192" i="21"/>
  <c r="W191" i="21"/>
  <c r="U191" i="21"/>
  <c r="B191" i="21"/>
  <c r="A191" i="21"/>
  <c r="V190" i="21"/>
  <c r="U190" i="21"/>
  <c r="T190" i="21"/>
  <c r="S190" i="21"/>
  <c r="R190" i="21"/>
  <c r="Q190" i="21"/>
  <c r="P190" i="21"/>
  <c r="AF184" i="21"/>
  <c r="AD184" i="21"/>
  <c r="AC184" i="21"/>
  <c r="AB184" i="21"/>
  <c r="AA184" i="21"/>
  <c r="Z184" i="21"/>
  <c r="Y184" i="21"/>
  <c r="B184" i="21"/>
  <c r="AE184" i="21" s="1"/>
  <c r="A184" i="21"/>
  <c r="AF183" i="21"/>
  <c r="AE183" i="21"/>
  <c r="AD183" i="21"/>
  <c r="AB183" i="21"/>
  <c r="Z183" i="21"/>
  <c r="Y183" i="21"/>
  <c r="B183" i="21"/>
  <c r="AC183" i="21" s="1"/>
  <c r="A183" i="21"/>
  <c r="AE182" i="21"/>
  <c r="AD182" i="21"/>
  <c r="AC182" i="21"/>
  <c r="AB182" i="21"/>
  <c r="Z182" i="21"/>
  <c r="Y182" i="21"/>
  <c r="B182" i="21"/>
  <c r="A182" i="21"/>
  <c r="AE181" i="21"/>
  <c r="AB181" i="21"/>
  <c r="AA181" i="21"/>
  <c r="Z181" i="21"/>
  <c r="B181" i="21"/>
  <c r="A181" i="21"/>
  <c r="B180" i="21"/>
  <c r="A180" i="21"/>
  <c r="AF179" i="21"/>
  <c r="AE179" i="21"/>
  <c r="AD179" i="21"/>
  <c r="AC179" i="21"/>
  <c r="AB179" i="21"/>
  <c r="B179" i="21"/>
  <c r="Z179" i="21" s="1"/>
  <c r="A179" i="21"/>
  <c r="AF178" i="21"/>
  <c r="AD178" i="21"/>
  <c r="AC178" i="21"/>
  <c r="AB178" i="21"/>
  <c r="AA178" i="21"/>
  <c r="Z178" i="21"/>
  <c r="Y178" i="21"/>
  <c r="B178" i="21"/>
  <c r="AE178" i="21" s="1"/>
  <c r="A178" i="21"/>
  <c r="AD177" i="21"/>
  <c r="AA177" i="21"/>
  <c r="Z177" i="21"/>
  <c r="Y177" i="21"/>
  <c r="B177" i="21"/>
  <c r="AC177" i="21" s="1"/>
  <c r="A177" i="21"/>
  <c r="AE176" i="21"/>
  <c r="AD176" i="21"/>
  <c r="AC176" i="21"/>
  <c r="Z176" i="21"/>
  <c r="Y176" i="21"/>
  <c r="B176" i="21"/>
  <c r="A176" i="21"/>
  <c r="AF175" i="21"/>
  <c r="AE175" i="21"/>
  <c r="AC175" i="21"/>
  <c r="AB175" i="21"/>
  <c r="AA175" i="21"/>
  <c r="Z175" i="21"/>
  <c r="B175" i="21"/>
  <c r="A175" i="21"/>
  <c r="AC174" i="21"/>
  <c r="AA174" i="21"/>
  <c r="B174" i="21"/>
  <c r="A174" i="21"/>
  <c r="AB173" i="21"/>
  <c r="B173" i="21"/>
  <c r="A173" i="21"/>
  <c r="AF172" i="21"/>
  <c r="AD172" i="21"/>
  <c r="AC172" i="21"/>
  <c r="AB172" i="21"/>
  <c r="AA172" i="21"/>
  <c r="Z172" i="21"/>
  <c r="Y172" i="21"/>
  <c r="B172" i="21"/>
  <c r="AE172" i="21" s="1"/>
  <c r="A172" i="21"/>
  <c r="AF171" i="21"/>
  <c r="AE171" i="21"/>
  <c r="AD171" i="21"/>
  <c r="AB171" i="21"/>
  <c r="AA171" i="21"/>
  <c r="Z171" i="21"/>
  <c r="Y171" i="21"/>
  <c r="B171" i="21"/>
  <c r="AC171" i="21" s="1"/>
  <c r="A171" i="21"/>
  <c r="AD170" i="21"/>
  <c r="AB170" i="21"/>
  <c r="Z170" i="21"/>
  <c r="Y170" i="21"/>
  <c r="B170" i="21"/>
  <c r="A170" i="21"/>
  <c r="AF169" i="21"/>
  <c r="AE169" i="21"/>
  <c r="AC169" i="21"/>
  <c r="AA169" i="21"/>
  <c r="Z169" i="21"/>
  <c r="B169" i="21"/>
  <c r="A169" i="21"/>
  <c r="AF168" i="21"/>
  <c r="AE168" i="21"/>
  <c r="AD168" i="21"/>
  <c r="AC168" i="21"/>
  <c r="AA168" i="21"/>
  <c r="Z168" i="21"/>
  <c r="Y168" i="21"/>
  <c r="B168" i="21"/>
  <c r="AB168" i="21" s="1"/>
  <c r="A168" i="21"/>
  <c r="AF167" i="21"/>
  <c r="AC167" i="21"/>
  <c r="AB167" i="21"/>
  <c r="Y167" i="21"/>
  <c r="B167" i="21"/>
  <c r="A167" i="21"/>
  <c r="AF166" i="21"/>
  <c r="AD166" i="21"/>
  <c r="AC166" i="21"/>
  <c r="AB166" i="21"/>
  <c r="AA166" i="21"/>
  <c r="Z166" i="21"/>
  <c r="Y166" i="21"/>
  <c r="B166" i="21"/>
  <c r="AE166" i="21" s="1"/>
  <c r="A166" i="21"/>
  <c r="AF165" i="21"/>
  <c r="AE165" i="21"/>
  <c r="AD165" i="21"/>
  <c r="AB165" i="21"/>
  <c r="Z165" i="21"/>
  <c r="Y165" i="21"/>
  <c r="B165" i="21"/>
  <c r="AC165" i="21" s="1"/>
  <c r="A165" i="21"/>
  <c r="AE164" i="21"/>
  <c r="AD164" i="21"/>
  <c r="AC164" i="21"/>
  <c r="AB164" i="21"/>
  <c r="Z164" i="21"/>
  <c r="Y164" i="21"/>
  <c r="B164" i="21"/>
  <c r="A164" i="21"/>
  <c r="AE163" i="21"/>
  <c r="AB163" i="21"/>
  <c r="AA163" i="21"/>
  <c r="Z163" i="21"/>
  <c r="B163" i="21"/>
  <c r="A163" i="21"/>
  <c r="AF162" i="21"/>
  <c r="Z162" i="21"/>
  <c r="B162" i="21"/>
  <c r="A162" i="21"/>
  <c r="AF161" i="21"/>
  <c r="AE161" i="21"/>
  <c r="AD161" i="21"/>
  <c r="AC161" i="21"/>
  <c r="AB161" i="21"/>
  <c r="B161" i="21"/>
  <c r="Z161" i="21" s="1"/>
  <c r="A161" i="21"/>
  <c r="AF160" i="21"/>
  <c r="AD160" i="21"/>
  <c r="AC160" i="21"/>
  <c r="AB160" i="21"/>
  <c r="AA160" i="21"/>
  <c r="Z160" i="21"/>
  <c r="Y160" i="21"/>
  <c r="B160" i="21"/>
  <c r="AE160" i="21" s="1"/>
  <c r="A160" i="21"/>
  <c r="AD159" i="21"/>
  <c r="AA159" i="21"/>
  <c r="Z159" i="21"/>
  <c r="Y159" i="21"/>
  <c r="B159" i="21"/>
  <c r="AC159" i="21" s="1"/>
  <c r="A159" i="21"/>
  <c r="AE158" i="21"/>
  <c r="AD158" i="21"/>
  <c r="AC158" i="21"/>
  <c r="Z158" i="21"/>
  <c r="Y158" i="21"/>
  <c r="B158" i="21"/>
  <c r="A158" i="21"/>
  <c r="AF157" i="21"/>
  <c r="AE157" i="21"/>
  <c r="AC157" i="21"/>
  <c r="AB157" i="21"/>
  <c r="AA157" i="21"/>
  <c r="Z157" i="21"/>
  <c r="B157" i="21"/>
  <c r="A157" i="21"/>
  <c r="B156" i="21"/>
  <c r="A156" i="21"/>
  <c r="B155" i="21"/>
  <c r="A155" i="21"/>
  <c r="AF154" i="21"/>
  <c r="AD154" i="21"/>
  <c r="AC154" i="21"/>
  <c r="AB154" i="21"/>
  <c r="AA154" i="21"/>
  <c r="Z154" i="21"/>
  <c r="Y154" i="21"/>
  <c r="B154" i="21"/>
  <c r="AE154" i="21" s="1"/>
  <c r="A154" i="21"/>
  <c r="AF153" i="21"/>
  <c r="AE153" i="21"/>
  <c r="AD153" i="21"/>
  <c r="AB153" i="21"/>
  <c r="AA153" i="21"/>
  <c r="Z153" i="21"/>
  <c r="Y153" i="21"/>
  <c r="B153" i="21"/>
  <c r="AC153" i="21" s="1"/>
  <c r="A153" i="21"/>
  <c r="AD152" i="21"/>
  <c r="AB152" i="21"/>
  <c r="Z152" i="21"/>
  <c r="Y152" i="21"/>
  <c r="B152" i="21"/>
  <c r="A152" i="21"/>
  <c r="AF151" i="21"/>
  <c r="AE151" i="21"/>
  <c r="AC151" i="21"/>
  <c r="AA151" i="21"/>
  <c r="Z151" i="21"/>
  <c r="B151" i="21"/>
  <c r="A151" i="21"/>
  <c r="AF150" i="21"/>
  <c r="AE150" i="21"/>
  <c r="AD150" i="21"/>
  <c r="AC150" i="21"/>
  <c r="AA150" i="21"/>
  <c r="Z150" i="21"/>
  <c r="Y150" i="21"/>
  <c r="B150" i="21"/>
  <c r="AB150" i="21" s="1"/>
  <c r="A150" i="21"/>
  <c r="AC149" i="21"/>
  <c r="AB149" i="21"/>
  <c r="B149" i="21"/>
  <c r="A149" i="21"/>
  <c r="AF148" i="21"/>
  <c r="AD148" i="21"/>
  <c r="AC148" i="21"/>
  <c r="AB148" i="21"/>
  <c r="AA148" i="21"/>
  <c r="Z148" i="21"/>
  <c r="Y148" i="21"/>
  <c r="B148" i="21"/>
  <c r="AE148" i="21" s="1"/>
  <c r="A148" i="21"/>
  <c r="AF147" i="21"/>
  <c r="AE147" i="21"/>
  <c r="AD147" i="21"/>
  <c r="AB147" i="21"/>
  <c r="Z147" i="21"/>
  <c r="Y147" i="21"/>
  <c r="B147" i="21"/>
  <c r="AC147" i="21" s="1"/>
  <c r="A147" i="21"/>
  <c r="AE146" i="21"/>
  <c r="AD146" i="21"/>
  <c r="AC146" i="21"/>
  <c r="AB146" i="21"/>
  <c r="Z146" i="21"/>
  <c r="Y146" i="21"/>
  <c r="B146" i="21"/>
  <c r="A146" i="21"/>
  <c r="AE145" i="21"/>
  <c r="AB145" i="21"/>
  <c r="AA145" i="21"/>
  <c r="Z145" i="21"/>
  <c r="B145" i="21"/>
  <c r="A145" i="21"/>
  <c r="AE144" i="21"/>
  <c r="AD144" i="21"/>
  <c r="AC144" i="21"/>
  <c r="AB144" i="21"/>
  <c r="AA144" i="21"/>
  <c r="Z144" i="21"/>
  <c r="Y144" i="21"/>
  <c r="Z138" i="21"/>
  <c r="Y138" i="21"/>
  <c r="W138" i="21"/>
  <c r="V138" i="21"/>
  <c r="U138" i="21"/>
  <c r="T138" i="21"/>
  <c r="S138" i="21"/>
  <c r="B138" i="21"/>
  <c r="X138" i="21" s="1"/>
  <c r="A138" i="21"/>
  <c r="Y137" i="21"/>
  <c r="B137" i="21"/>
  <c r="A137" i="21"/>
  <c r="U136" i="21"/>
  <c r="B136" i="21"/>
  <c r="A136" i="21"/>
  <c r="Z135" i="21"/>
  <c r="Y135" i="21"/>
  <c r="X135" i="21"/>
  <c r="V135" i="21"/>
  <c r="U135" i="21"/>
  <c r="T135" i="21"/>
  <c r="S135" i="21"/>
  <c r="B135" i="21"/>
  <c r="W135" i="21" s="1"/>
  <c r="A135" i="21"/>
  <c r="Y134" i="21"/>
  <c r="X134" i="21"/>
  <c r="W134" i="21"/>
  <c r="V134" i="21"/>
  <c r="T134" i="21"/>
  <c r="S134" i="21"/>
  <c r="B134" i="21"/>
  <c r="U134" i="21" s="1"/>
  <c r="A134" i="21"/>
  <c r="U133" i="21"/>
  <c r="B133" i="21"/>
  <c r="X133" i="21" s="1"/>
  <c r="A133" i="21"/>
  <c r="B132" i="21"/>
  <c r="A132" i="21"/>
  <c r="Z131" i="21"/>
  <c r="B131" i="21"/>
  <c r="A131" i="21"/>
  <c r="W130" i="21"/>
  <c r="B130" i="21"/>
  <c r="A130" i="21"/>
  <c r="Z129" i="21"/>
  <c r="Y129" i="21"/>
  <c r="X129" i="21"/>
  <c r="W129" i="21"/>
  <c r="V129" i="21"/>
  <c r="U129" i="21"/>
  <c r="T129" i="21"/>
  <c r="S129" i="21"/>
  <c r="B129" i="21"/>
  <c r="A129" i="21"/>
  <c r="Z128" i="21"/>
  <c r="X128" i="21"/>
  <c r="W128" i="21"/>
  <c r="V128" i="21"/>
  <c r="U128" i="21"/>
  <c r="T128" i="21"/>
  <c r="S128" i="21"/>
  <c r="B128" i="21"/>
  <c r="Y128" i="21" s="1"/>
  <c r="A128" i="21"/>
  <c r="X127" i="21"/>
  <c r="V127" i="21"/>
  <c r="U127" i="21"/>
  <c r="T127" i="21"/>
  <c r="B127" i="21"/>
  <c r="A127" i="21"/>
  <c r="V126" i="21"/>
  <c r="T126" i="21"/>
  <c r="B126" i="21"/>
  <c r="A126" i="21"/>
  <c r="B125" i="21"/>
  <c r="A125" i="21"/>
  <c r="B124" i="21"/>
  <c r="A124" i="21"/>
  <c r="Z123" i="21"/>
  <c r="Y123" i="21"/>
  <c r="X123" i="21"/>
  <c r="W123" i="21"/>
  <c r="V123" i="21"/>
  <c r="U123" i="21"/>
  <c r="T123" i="21"/>
  <c r="S123" i="21"/>
  <c r="B123" i="21"/>
  <c r="A123" i="21"/>
  <c r="Z122" i="21"/>
  <c r="X122" i="21"/>
  <c r="W122" i="21"/>
  <c r="V122" i="21"/>
  <c r="U122" i="21"/>
  <c r="T122" i="21"/>
  <c r="S122" i="21"/>
  <c r="B122" i="21"/>
  <c r="Y122" i="21" s="1"/>
  <c r="A122" i="21"/>
  <c r="V121" i="21"/>
  <c r="U121" i="21"/>
  <c r="T121" i="21"/>
  <c r="B121" i="21"/>
  <c r="A121" i="21"/>
  <c r="V120" i="21"/>
  <c r="S120" i="21"/>
  <c r="B120" i="21"/>
  <c r="A120" i="21"/>
  <c r="T119" i="21"/>
  <c r="B119" i="21"/>
  <c r="A119" i="21"/>
  <c r="Z118" i="21"/>
  <c r="X118" i="21"/>
  <c r="W118" i="21"/>
  <c r="B118" i="21"/>
  <c r="A118" i="21"/>
  <c r="Z117" i="21"/>
  <c r="Y117" i="21"/>
  <c r="X117" i="21"/>
  <c r="W117" i="21"/>
  <c r="V117" i="21"/>
  <c r="U117" i="21"/>
  <c r="T117" i="21"/>
  <c r="S117" i="21"/>
  <c r="B117" i="21"/>
  <c r="A117" i="21"/>
  <c r="Z116" i="21"/>
  <c r="X116" i="21"/>
  <c r="W116" i="21"/>
  <c r="V116" i="21"/>
  <c r="U116" i="21"/>
  <c r="T116" i="21"/>
  <c r="S116" i="21"/>
  <c r="B116" i="21"/>
  <c r="Y116" i="21" s="1"/>
  <c r="A116" i="21"/>
  <c r="U115" i="21"/>
  <c r="B115" i="21"/>
  <c r="X115" i="21" s="1"/>
  <c r="A115" i="21"/>
  <c r="T114" i="21"/>
  <c r="B114" i="21"/>
  <c r="A114" i="21"/>
  <c r="Z113" i="21"/>
  <c r="B113" i="21"/>
  <c r="A113" i="21"/>
  <c r="W112" i="21"/>
  <c r="B112" i="21"/>
  <c r="A112" i="21"/>
  <c r="Z111" i="21"/>
  <c r="Y111" i="21"/>
  <c r="X111" i="21"/>
  <c r="W111" i="21"/>
  <c r="V111" i="21"/>
  <c r="U111" i="21"/>
  <c r="T111" i="21"/>
  <c r="S111" i="21"/>
  <c r="B111" i="21"/>
  <c r="A111" i="21"/>
  <c r="Z110" i="21"/>
  <c r="X110" i="21"/>
  <c r="W110" i="21"/>
  <c r="V110" i="21"/>
  <c r="U110" i="21"/>
  <c r="T110" i="21"/>
  <c r="S110" i="21"/>
  <c r="B110" i="21"/>
  <c r="Y110" i="21" s="1"/>
  <c r="A110" i="21"/>
  <c r="X109" i="21"/>
  <c r="V109" i="21"/>
  <c r="U109" i="21"/>
  <c r="T109" i="21"/>
  <c r="B109" i="21"/>
  <c r="A109" i="21"/>
  <c r="V108" i="21"/>
  <c r="T108" i="21"/>
  <c r="B108" i="21"/>
  <c r="A108" i="21"/>
  <c r="B107" i="21"/>
  <c r="A107" i="21"/>
  <c r="B106" i="21"/>
  <c r="A106" i="21"/>
  <c r="Z105" i="21"/>
  <c r="Y105" i="21"/>
  <c r="X105" i="21"/>
  <c r="W105" i="21"/>
  <c r="V105" i="21"/>
  <c r="U105" i="21"/>
  <c r="T105" i="21"/>
  <c r="S105" i="21"/>
  <c r="B105" i="21"/>
  <c r="A105" i="21"/>
  <c r="Z104" i="21"/>
  <c r="X104" i="21"/>
  <c r="W104" i="21"/>
  <c r="V104" i="21"/>
  <c r="U104" i="21"/>
  <c r="T104" i="21"/>
  <c r="S104" i="21"/>
  <c r="B104" i="21"/>
  <c r="Y104" i="21" s="1"/>
  <c r="A104" i="21"/>
  <c r="V103" i="21"/>
  <c r="U103" i="21"/>
  <c r="T103" i="21"/>
  <c r="B103" i="21"/>
  <c r="A103" i="21"/>
  <c r="V102" i="21"/>
  <c r="S102" i="21"/>
  <c r="B102" i="21"/>
  <c r="A102" i="21"/>
  <c r="Z101" i="21"/>
  <c r="B101" i="21"/>
  <c r="A101" i="21"/>
  <c r="Z100" i="21"/>
  <c r="X100" i="21"/>
  <c r="W100" i="21"/>
  <c r="B100" i="21"/>
  <c r="A100" i="21"/>
  <c r="Z99" i="21"/>
  <c r="Y99" i="21"/>
  <c r="X99" i="21"/>
  <c r="W99" i="21"/>
  <c r="V99" i="21"/>
  <c r="U99" i="21"/>
  <c r="T99" i="21"/>
  <c r="S99" i="21"/>
  <c r="B99" i="21"/>
  <c r="A99" i="21"/>
  <c r="Y98" i="21"/>
  <c r="X98" i="21"/>
  <c r="W98" i="21"/>
  <c r="V98" i="21"/>
  <c r="U98" i="21"/>
  <c r="T98" i="21"/>
  <c r="S98" i="21"/>
  <c r="AF92" i="21"/>
  <c r="AA92" i="21"/>
  <c r="B92" i="21"/>
  <c r="A92" i="21"/>
  <c r="AF91" i="21"/>
  <c r="AE91" i="21"/>
  <c r="AD91" i="21"/>
  <c r="AC91" i="21"/>
  <c r="AB91" i="21"/>
  <c r="Z91" i="21"/>
  <c r="Y91" i="21"/>
  <c r="B91" i="21"/>
  <c r="AA91" i="21" s="1"/>
  <c r="A91" i="21"/>
  <c r="AF90" i="21"/>
  <c r="AE90" i="21"/>
  <c r="AD90" i="21"/>
  <c r="AC90" i="21"/>
  <c r="AB90" i="21"/>
  <c r="AA90" i="21"/>
  <c r="B90" i="21"/>
  <c r="Z90" i="21" s="1"/>
  <c r="A90" i="21"/>
  <c r="AE89" i="21"/>
  <c r="AD89" i="21"/>
  <c r="AC89" i="21"/>
  <c r="AB89" i="21"/>
  <c r="AA89" i="21"/>
  <c r="Z89" i="21"/>
  <c r="Y89" i="21"/>
  <c r="B89" i="21"/>
  <c r="AF89" i="21" s="1"/>
  <c r="A89" i="21"/>
  <c r="AC88" i="21"/>
  <c r="AB88" i="21"/>
  <c r="Y88" i="21"/>
  <c r="B88" i="21"/>
  <c r="A88" i="21"/>
  <c r="AC87" i="21"/>
  <c r="AA87" i="21"/>
  <c r="Z87" i="21"/>
  <c r="Y87" i="21"/>
  <c r="B87" i="21"/>
  <c r="AF87" i="21" s="1"/>
  <c r="A87" i="21"/>
  <c r="B86" i="21"/>
  <c r="A86" i="21"/>
  <c r="AF85" i="21"/>
  <c r="AE85" i="21"/>
  <c r="AD85" i="21"/>
  <c r="AC85" i="21"/>
  <c r="AB85" i="21"/>
  <c r="Z85" i="21"/>
  <c r="Y85" i="21"/>
  <c r="B85" i="21"/>
  <c r="AA85" i="21" s="1"/>
  <c r="A85" i="21"/>
  <c r="AF84" i="21"/>
  <c r="AE84" i="21"/>
  <c r="AD84" i="21"/>
  <c r="AC84" i="21"/>
  <c r="AB84" i="21"/>
  <c r="AA84" i="21"/>
  <c r="B84" i="21"/>
  <c r="Z84" i="21" s="1"/>
  <c r="A84" i="21"/>
  <c r="AE83" i="21"/>
  <c r="AD83" i="21"/>
  <c r="AC83" i="21"/>
  <c r="AB83" i="21"/>
  <c r="AA83" i="21"/>
  <c r="Z83" i="21"/>
  <c r="Y83" i="21"/>
  <c r="B83" i="21"/>
  <c r="AF83" i="21" s="1"/>
  <c r="A83" i="21"/>
  <c r="B82" i="21"/>
  <c r="A82" i="21"/>
  <c r="AC81" i="21"/>
  <c r="AA81" i="21"/>
  <c r="Z81" i="21"/>
  <c r="Y81" i="21"/>
  <c r="B81" i="21"/>
  <c r="AF81" i="21" s="1"/>
  <c r="A81" i="21"/>
  <c r="AF80" i="21"/>
  <c r="Y80" i="21"/>
  <c r="B80" i="21"/>
  <c r="A80" i="21"/>
  <c r="AF79" i="21"/>
  <c r="AE79" i="21"/>
  <c r="AD79" i="21"/>
  <c r="AC79" i="21"/>
  <c r="AB79" i="21"/>
  <c r="Z79" i="21"/>
  <c r="Y79" i="21"/>
  <c r="B79" i="21"/>
  <c r="AA79" i="21" s="1"/>
  <c r="A79" i="21"/>
  <c r="AF78" i="21"/>
  <c r="AE78" i="21"/>
  <c r="AD78" i="21"/>
  <c r="AC78" i="21"/>
  <c r="AB78" i="21"/>
  <c r="AA78" i="21"/>
  <c r="B78" i="21"/>
  <c r="Z78" i="21" s="1"/>
  <c r="A78" i="21"/>
  <c r="AE77" i="21"/>
  <c r="AD77" i="21"/>
  <c r="AC77" i="21"/>
  <c r="AB77" i="21"/>
  <c r="AA77" i="21"/>
  <c r="Z77" i="21"/>
  <c r="Y77" i="21"/>
  <c r="B77" i="21"/>
  <c r="AF77" i="21" s="1"/>
  <c r="A77" i="21"/>
  <c r="B76" i="21"/>
  <c r="A76" i="21"/>
  <c r="AC75" i="21"/>
  <c r="AA75" i="21"/>
  <c r="Z75" i="21"/>
  <c r="Y75" i="21"/>
  <c r="B75" i="21"/>
  <c r="AF75" i="21" s="1"/>
  <c r="A75" i="21"/>
  <c r="AF74" i="21"/>
  <c r="AA74" i="21"/>
  <c r="B74" i="21"/>
  <c r="A74" i="21"/>
  <c r="AF73" i="21"/>
  <c r="AE73" i="21"/>
  <c r="AD73" i="21"/>
  <c r="AC73" i="21"/>
  <c r="AB73" i="21"/>
  <c r="Z73" i="21"/>
  <c r="Y73" i="21"/>
  <c r="B73" i="21"/>
  <c r="AA73" i="21" s="1"/>
  <c r="A73" i="21"/>
  <c r="AF72" i="21"/>
  <c r="AE72" i="21"/>
  <c r="AD72" i="21"/>
  <c r="AC72" i="21"/>
  <c r="AB72" i="21"/>
  <c r="AA72" i="21"/>
  <c r="B72" i="21"/>
  <c r="Z72" i="21" s="1"/>
  <c r="A72" i="21"/>
  <c r="AE71" i="21"/>
  <c r="AD71" i="21"/>
  <c r="AC71" i="21"/>
  <c r="AB71" i="21"/>
  <c r="AA71" i="21"/>
  <c r="Z71" i="21"/>
  <c r="Y71" i="21"/>
  <c r="B71" i="21"/>
  <c r="AF71" i="21" s="1"/>
  <c r="A71" i="21"/>
  <c r="AC70" i="21"/>
  <c r="AB70" i="21"/>
  <c r="B70" i="21"/>
  <c r="A70" i="21"/>
  <c r="AC69" i="21"/>
  <c r="AA69" i="21"/>
  <c r="Z69" i="21"/>
  <c r="Y69" i="21"/>
  <c r="B69" i="21"/>
  <c r="AF69" i="21" s="1"/>
  <c r="A69" i="21"/>
  <c r="AA68" i="21"/>
  <c r="B68" i="21"/>
  <c r="A68" i="21"/>
  <c r="AF67" i="21"/>
  <c r="AE67" i="21"/>
  <c r="AD67" i="21"/>
  <c r="AC67" i="21"/>
  <c r="AB67" i="21"/>
  <c r="Z67" i="21"/>
  <c r="Y67" i="21"/>
  <c r="B67" i="21"/>
  <c r="AA67" i="21" s="1"/>
  <c r="A67" i="21"/>
  <c r="AF66" i="21"/>
  <c r="AE66" i="21"/>
  <c r="AD66" i="21"/>
  <c r="AC66" i="21"/>
  <c r="AB66" i="21"/>
  <c r="AA66" i="21"/>
  <c r="B66" i="21"/>
  <c r="Z66" i="21" s="1"/>
  <c r="A66" i="21"/>
  <c r="AE65" i="21"/>
  <c r="AD65" i="21"/>
  <c r="AC65" i="21"/>
  <c r="AB65" i="21"/>
  <c r="AA65" i="21"/>
  <c r="Z65" i="21"/>
  <c r="Y65" i="21"/>
  <c r="B65" i="21"/>
  <c r="AF65" i="21" s="1"/>
  <c r="A65" i="21"/>
  <c r="B64" i="21"/>
  <c r="A64" i="21"/>
  <c r="AC63" i="21"/>
  <c r="AA63" i="21"/>
  <c r="Z63" i="21"/>
  <c r="Y63" i="21"/>
  <c r="B63" i="21"/>
  <c r="AF63" i="21" s="1"/>
  <c r="A63" i="21"/>
  <c r="AF62" i="21"/>
  <c r="Y62" i="21"/>
  <c r="B62" i="21"/>
  <c r="A62" i="21"/>
  <c r="AF61" i="21"/>
  <c r="AE61" i="21"/>
  <c r="AD61" i="21"/>
  <c r="AC61" i="21"/>
  <c r="AB61" i="21"/>
  <c r="Z61" i="21"/>
  <c r="Y61" i="21"/>
  <c r="B61" i="21"/>
  <c r="AA61" i="21" s="1"/>
  <c r="A61" i="21"/>
  <c r="AF60" i="21"/>
  <c r="AE60" i="21"/>
  <c r="AD60" i="21"/>
  <c r="AC60" i="21"/>
  <c r="AB60" i="21"/>
  <c r="AA60" i="21"/>
  <c r="B60" i="21"/>
  <c r="Z60" i="21" s="1"/>
  <c r="A60" i="21"/>
  <c r="AE59" i="21"/>
  <c r="AD59" i="21"/>
  <c r="AC59" i="21"/>
  <c r="AB59" i="21"/>
  <c r="AA59" i="21"/>
  <c r="Z59" i="21"/>
  <c r="Y59" i="21"/>
  <c r="B59" i="21"/>
  <c r="AF59" i="21" s="1"/>
  <c r="A59" i="21"/>
  <c r="AE58" i="21"/>
  <c r="AC58" i="21"/>
  <c r="AB58" i="21"/>
  <c r="AA58" i="21"/>
  <c r="Z58" i="21"/>
  <c r="Y58" i="21"/>
  <c r="B58" i="21"/>
  <c r="A58" i="21"/>
  <c r="B57" i="21"/>
  <c r="A57" i="21"/>
  <c r="B56" i="21"/>
  <c r="A56" i="21"/>
  <c r="AF55" i="21"/>
  <c r="AE55" i="21"/>
  <c r="AD55" i="21"/>
  <c r="AC55" i="21"/>
  <c r="AB55" i="21"/>
  <c r="Z55" i="21"/>
  <c r="Y55" i="21"/>
  <c r="B55" i="21"/>
  <c r="AA55" i="21" s="1"/>
  <c r="A55" i="21"/>
  <c r="AF54" i="21"/>
  <c r="AE54" i="21"/>
  <c r="AD54" i="21"/>
  <c r="AC54" i="21"/>
  <c r="AB54" i="21"/>
  <c r="AA54" i="21"/>
  <c r="B54" i="21"/>
  <c r="Z54" i="21" s="1"/>
  <c r="A54" i="21"/>
  <c r="AE53" i="21"/>
  <c r="AD53" i="21"/>
  <c r="AC53" i="21"/>
  <c r="AB53" i="21"/>
  <c r="AA53" i="21"/>
  <c r="Z53" i="21"/>
  <c r="Y53" i="21"/>
  <c r="B53" i="21"/>
  <c r="AF53" i="21" s="1"/>
  <c r="A53" i="21"/>
  <c r="AE52" i="21"/>
  <c r="AD52" i="21"/>
  <c r="AC52" i="21"/>
  <c r="AB52" i="21"/>
  <c r="AA52" i="21"/>
  <c r="Z52" i="21"/>
  <c r="Y52" i="21"/>
  <c r="J17" i="21"/>
  <c r="K17" i="21" s="1"/>
  <c r="I17" i="21"/>
  <c r="H17" i="21"/>
  <c r="G17" i="21"/>
  <c r="F17" i="21"/>
  <c r="K16" i="21"/>
  <c r="J16" i="21"/>
  <c r="I16" i="21"/>
  <c r="H16" i="21"/>
  <c r="G16" i="21"/>
  <c r="F16" i="21"/>
  <c r="J15" i="21"/>
  <c r="K15" i="21" s="1"/>
  <c r="I15" i="21"/>
  <c r="H15" i="21"/>
  <c r="G15" i="21"/>
  <c r="F15" i="21"/>
  <c r="K14" i="21"/>
  <c r="J14" i="21"/>
  <c r="I14" i="21"/>
  <c r="H14" i="21"/>
  <c r="G14" i="21"/>
  <c r="F14" i="21"/>
  <c r="J13" i="21"/>
  <c r="K13" i="21" s="1"/>
  <c r="I13" i="21"/>
  <c r="H13" i="21"/>
  <c r="G13" i="21"/>
  <c r="F13" i="21"/>
  <c r="J12" i="21"/>
  <c r="I12" i="21"/>
  <c r="K12" i="21" s="1"/>
  <c r="H12" i="21"/>
  <c r="G12" i="21"/>
  <c r="F12" i="21"/>
  <c r="J11" i="21"/>
  <c r="K11" i="21" s="1"/>
  <c r="I11" i="21"/>
  <c r="H11" i="21"/>
  <c r="G11" i="21"/>
  <c r="F11" i="21"/>
  <c r="E7" i="21"/>
  <c r="D7" i="21"/>
  <c r="C7" i="21"/>
  <c r="B7" i="21"/>
  <c r="A7" i="21"/>
  <c r="A5" i="21"/>
  <c r="J2" i="21"/>
  <c r="H2" i="21"/>
  <c r="F2" i="21"/>
  <c r="D2" i="21"/>
  <c r="B2" i="21"/>
  <c r="A1" i="21"/>
  <c r="W230" i="20"/>
  <c r="V230" i="20"/>
  <c r="U230" i="20"/>
  <c r="T230" i="20"/>
  <c r="S230" i="20"/>
  <c r="R230" i="20"/>
  <c r="Q230" i="20"/>
  <c r="P230" i="20"/>
  <c r="B230" i="20"/>
  <c r="A230" i="20"/>
  <c r="W229" i="20"/>
  <c r="V229" i="20"/>
  <c r="U229" i="20"/>
  <c r="T229" i="20"/>
  <c r="S229" i="20"/>
  <c r="R229" i="20"/>
  <c r="B229" i="20"/>
  <c r="Q229" i="20" s="1"/>
  <c r="A229" i="20"/>
  <c r="V228" i="20"/>
  <c r="U228" i="20"/>
  <c r="T228" i="20"/>
  <c r="S228" i="20"/>
  <c r="R228" i="20"/>
  <c r="Q228" i="20"/>
  <c r="P228" i="20"/>
  <c r="B228" i="20"/>
  <c r="W228" i="20" s="1"/>
  <c r="A228" i="20"/>
  <c r="T227" i="20"/>
  <c r="P227" i="20"/>
  <c r="B227" i="20"/>
  <c r="A227" i="20"/>
  <c r="T226" i="20"/>
  <c r="R226" i="20"/>
  <c r="Q226" i="20"/>
  <c r="B226" i="20"/>
  <c r="A226" i="20"/>
  <c r="B225" i="20"/>
  <c r="A225" i="20"/>
  <c r="W224" i="20"/>
  <c r="V224" i="20"/>
  <c r="U224" i="20"/>
  <c r="T224" i="20"/>
  <c r="S224" i="20"/>
  <c r="R224" i="20"/>
  <c r="Q224" i="20"/>
  <c r="P224" i="20"/>
  <c r="B224" i="20"/>
  <c r="A224" i="20"/>
  <c r="W223" i="20"/>
  <c r="V223" i="20"/>
  <c r="U223" i="20"/>
  <c r="T223" i="20"/>
  <c r="S223" i="20"/>
  <c r="R223" i="20"/>
  <c r="B223" i="20"/>
  <c r="Q223" i="20" s="1"/>
  <c r="A223" i="20"/>
  <c r="V222" i="20"/>
  <c r="U222" i="20"/>
  <c r="T222" i="20"/>
  <c r="S222" i="20"/>
  <c r="R222" i="20"/>
  <c r="Q222" i="20"/>
  <c r="P222" i="20"/>
  <c r="B222" i="20"/>
  <c r="W222" i="20" s="1"/>
  <c r="A222" i="20"/>
  <c r="B221" i="20"/>
  <c r="A221" i="20"/>
  <c r="R220" i="20"/>
  <c r="Q220" i="20"/>
  <c r="P220" i="20"/>
  <c r="B220" i="20"/>
  <c r="A220" i="20"/>
  <c r="W219" i="20"/>
  <c r="B219" i="20"/>
  <c r="A219" i="20"/>
  <c r="W218" i="20"/>
  <c r="V218" i="20"/>
  <c r="U218" i="20"/>
  <c r="T218" i="20"/>
  <c r="S218" i="20"/>
  <c r="R218" i="20"/>
  <c r="Q218" i="20"/>
  <c r="P218" i="20"/>
  <c r="B218" i="20"/>
  <c r="A218" i="20"/>
  <c r="W217" i="20"/>
  <c r="V217" i="20"/>
  <c r="U217" i="20"/>
  <c r="T217" i="20"/>
  <c r="S217" i="20"/>
  <c r="R217" i="20"/>
  <c r="B217" i="20"/>
  <c r="Q217" i="20" s="1"/>
  <c r="A217" i="20"/>
  <c r="V216" i="20"/>
  <c r="U216" i="20"/>
  <c r="T216" i="20"/>
  <c r="S216" i="20"/>
  <c r="R216" i="20"/>
  <c r="Q216" i="20"/>
  <c r="P216" i="20"/>
  <c r="B216" i="20"/>
  <c r="W216" i="20" s="1"/>
  <c r="A216" i="20"/>
  <c r="V215" i="20"/>
  <c r="S215" i="20"/>
  <c r="R215" i="20"/>
  <c r="P215" i="20"/>
  <c r="B215" i="20"/>
  <c r="T215" i="20" s="1"/>
  <c r="A215" i="20"/>
  <c r="T214" i="20"/>
  <c r="Q214" i="20"/>
  <c r="P214" i="20"/>
  <c r="B214" i="20"/>
  <c r="A214" i="20"/>
  <c r="W213" i="20"/>
  <c r="V213" i="20"/>
  <c r="P213" i="20"/>
  <c r="B213" i="20"/>
  <c r="A213" i="20"/>
  <c r="W212" i="20"/>
  <c r="V212" i="20"/>
  <c r="U212" i="20"/>
  <c r="T212" i="20"/>
  <c r="S212" i="20"/>
  <c r="R212" i="20"/>
  <c r="Q212" i="20"/>
  <c r="P212" i="20"/>
  <c r="B212" i="20"/>
  <c r="A212" i="20"/>
  <c r="W211" i="20"/>
  <c r="V211" i="20"/>
  <c r="U211" i="20"/>
  <c r="T211" i="20"/>
  <c r="S211" i="20"/>
  <c r="R211" i="20"/>
  <c r="B211" i="20"/>
  <c r="Q211" i="20" s="1"/>
  <c r="A211" i="20"/>
  <c r="V210" i="20"/>
  <c r="U210" i="20"/>
  <c r="T210" i="20"/>
  <c r="S210" i="20"/>
  <c r="R210" i="20"/>
  <c r="Q210" i="20"/>
  <c r="P210" i="20"/>
  <c r="B210" i="20"/>
  <c r="W210" i="20" s="1"/>
  <c r="A210" i="20"/>
  <c r="V209" i="20"/>
  <c r="T209" i="20"/>
  <c r="Q209" i="20"/>
  <c r="B209" i="20"/>
  <c r="S209" i="20" s="1"/>
  <c r="A209" i="20"/>
  <c r="R208" i="20"/>
  <c r="P208" i="20"/>
  <c r="B208" i="20"/>
  <c r="A208" i="20"/>
  <c r="V207" i="20"/>
  <c r="S207" i="20"/>
  <c r="P207" i="20"/>
  <c r="B207" i="20"/>
  <c r="W207" i="20" s="1"/>
  <c r="A207" i="20"/>
  <c r="W206" i="20"/>
  <c r="V206" i="20"/>
  <c r="U206" i="20"/>
  <c r="T206" i="20"/>
  <c r="S206" i="20"/>
  <c r="R206" i="20"/>
  <c r="Q206" i="20"/>
  <c r="P206" i="20"/>
  <c r="B206" i="20"/>
  <c r="A206" i="20"/>
  <c r="V205" i="20"/>
  <c r="R205" i="20"/>
  <c r="B205" i="20"/>
  <c r="A205" i="20"/>
  <c r="V204" i="20"/>
  <c r="U204" i="20"/>
  <c r="T204" i="20"/>
  <c r="S204" i="20"/>
  <c r="R204" i="20"/>
  <c r="Q204" i="20"/>
  <c r="P204" i="20"/>
  <c r="B204" i="20"/>
  <c r="W204" i="20" s="1"/>
  <c r="A204" i="20"/>
  <c r="W203" i="20"/>
  <c r="V203" i="20"/>
  <c r="S203" i="20"/>
  <c r="R203" i="20"/>
  <c r="P203" i="20"/>
  <c r="B203" i="20"/>
  <c r="U203" i="20" s="1"/>
  <c r="A203" i="20"/>
  <c r="U202" i="20"/>
  <c r="R202" i="20"/>
  <c r="Q202" i="20"/>
  <c r="P202" i="20"/>
  <c r="B202" i="20"/>
  <c r="A202" i="20"/>
  <c r="B201" i="20"/>
  <c r="A201" i="20"/>
  <c r="W200" i="20"/>
  <c r="V200" i="20"/>
  <c r="U200" i="20"/>
  <c r="T200" i="20"/>
  <c r="S200" i="20"/>
  <c r="R200" i="20"/>
  <c r="Q200" i="20"/>
  <c r="P200" i="20"/>
  <c r="B200" i="20"/>
  <c r="A200" i="20"/>
  <c r="W199" i="20"/>
  <c r="U199" i="20"/>
  <c r="T199" i="20"/>
  <c r="S199" i="20"/>
  <c r="B199" i="20"/>
  <c r="A199" i="20"/>
  <c r="V198" i="20"/>
  <c r="U198" i="20"/>
  <c r="T198" i="20"/>
  <c r="S198" i="20"/>
  <c r="R198" i="20"/>
  <c r="Q198" i="20"/>
  <c r="P198" i="20"/>
  <c r="B198" i="20"/>
  <c r="W198" i="20" s="1"/>
  <c r="A198" i="20"/>
  <c r="T197" i="20"/>
  <c r="P197" i="20"/>
  <c r="B197" i="20"/>
  <c r="A197" i="20"/>
  <c r="R196" i="20"/>
  <c r="B196" i="20"/>
  <c r="A196" i="20"/>
  <c r="S195" i="20"/>
  <c r="R195" i="20"/>
  <c r="B195" i="20"/>
  <c r="A195" i="20"/>
  <c r="W194" i="20"/>
  <c r="V194" i="20"/>
  <c r="U194" i="20"/>
  <c r="T194" i="20"/>
  <c r="S194" i="20"/>
  <c r="R194" i="20"/>
  <c r="Q194" i="20"/>
  <c r="P194" i="20"/>
  <c r="B194" i="20"/>
  <c r="A194" i="20"/>
  <c r="W193" i="20"/>
  <c r="V193" i="20"/>
  <c r="U193" i="20"/>
  <c r="T193" i="20"/>
  <c r="S193" i="20"/>
  <c r="R193" i="20"/>
  <c r="B193" i="20"/>
  <c r="A193" i="20"/>
  <c r="V192" i="20"/>
  <c r="U192" i="20"/>
  <c r="T192" i="20"/>
  <c r="S192" i="20"/>
  <c r="R192" i="20"/>
  <c r="Q192" i="20"/>
  <c r="P192" i="20"/>
  <c r="B192" i="20"/>
  <c r="W192" i="20" s="1"/>
  <c r="A192" i="20"/>
  <c r="Q191" i="20"/>
  <c r="B191" i="20"/>
  <c r="A191" i="20"/>
  <c r="V190" i="20"/>
  <c r="U190" i="20"/>
  <c r="T190" i="20"/>
  <c r="S190" i="20"/>
  <c r="R190" i="20"/>
  <c r="Q190" i="20"/>
  <c r="P190" i="20"/>
  <c r="AF184" i="20"/>
  <c r="AE184" i="20"/>
  <c r="AC184" i="20"/>
  <c r="AB184" i="20"/>
  <c r="Y184" i="20"/>
  <c r="B184" i="20"/>
  <c r="A184" i="20"/>
  <c r="AF183" i="20"/>
  <c r="AE183" i="20"/>
  <c r="AD183" i="20"/>
  <c r="AC183" i="20"/>
  <c r="AB183" i="20"/>
  <c r="AA183" i="20"/>
  <c r="Z183" i="20"/>
  <c r="Y183" i="20"/>
  <c r="B183" i="20"/>
  <c r="A183" i="20"/>
  <c r="AC182" i="20"/>
  <c r="Y182" i="20"/>
  <c r="B182" i="20"/>
  <c r="A182" i="20"/>
  <c r="AE181" i="20"/>
  <c r="AD181" i="20"/>
  <c r="AB181" i="20"/>
  <c r="AA181" i="20"/>
  <c r="Z181" i="20"/>
  <c r="Y181" i="20"/>
  <c r="B181" i="20"/>
  <c r="A181" i="20"/>
  <c r="AC180" i="20"/>
  <c r="AB180" i="20"/>
  <c r="B180" i="20"/>
  <c r="A180" i="20"/>
  <c r="AE179" i="20"/>
  <c r="AD179" i="20"/>
  <c r="Z179" i="20"/>
  <c r="B179" i="20"/>
  <c r="AF179" i="20" s="1"/>
  <c r="A179" i="20"/>
  <c r="AF178" i="20"/>
  <c r="AD178" i="20"/>
  <c r="AC178" i="20"/>
  <c r="AB178" i="20"/>
  <c r="B178" i="20"/>
  <c r="A178" i="20"/>
  <c r="AF177" i="20"/>
  <c r="AE177" i="20"/>
  <c r="AD177" i="20"/>
  <c r="AC177" i="20"/>
  <c r="AB177" i="20"/>
  <c r="AA177" i="20"/>
  <c r="Z177" i="20"/>
  <c r="Y177" i="20"/>
  <c r="B177" i="20"/>
  <c r="A177" i="20"/>
  <c r="AF176" i="20"/>
  <c r="AD176" i="20"/>
  <c r="AC176" i="20"/>
  <c r="AB176" i="20"/>
  <c r="AA176" i="20"/>
  <c r="Z176" i="20"/>
  <c r="Y176" i="20"/>
  <c r="B176" i="20"/>
  <c r="AE176" i="20" s="1"/>
  <c r="A176" i="20"/>
  <c r="AE175" i="20"/>
  <c r="AD175" i="20"/>
  <c r="Z175" i="20"/>
  <c r="B175" i="20"/>
  <c r="AB175" i="20" s="1"/>
  <c r="A175" i="20"/>
  <c r="AF174" i="20"/>
  <c r="Z174" i="20"/>
  <c r="B174" i="20"/>
  <c r="A174" i="20"/>
  <c r="B173" i="20"/>
  <c r="A173" i="20"/>
  <c r="AE172" i="20"/>
  <c r="AC172" i="20"/>
  <c r="B172" i="20"/>
  <c r="A172" i="20"/>
  <c r="AF171" i="20"/>
  <c r="AE171" i="20"/>
  <c r="AD171" i="20"/>
  <c r="AC171" i="20"/>
  <c r="AB171" i="20"/>
  <c r="AA171" i="20"/>
  <c r="Z171" i="20"/>
  <c r="Y171" i="20"/>
  <c r="B171" i="20"/>
  <c r="A171" i="20"/>
  <c r="AF170" i="20"/>
  <c r="Z170" i="20"/>
  <c r="B170" i="20"/>
  <c r="A170" i="20"/>
  <c r="AE169" i="20"/>
  <c r="AB169" i="20"/>
  <c r="AA169" i="20"/>
  <c r="Y169" i="20"/>
  <c r="B169" i="20"/>
  <c r="AD169" i="20" s="1"/>
  <c r="A169" i="20"/>
  <c r="AF168" i="20"/>
  <c r="AB168" i="20"/>
  <c r="Z168" i="20"/>
  <c r="Y168" i="20"/>
  <c r="B168" i="20"/>
  <c r="A168" i="20"/>
  <c r="B167" i="20"/>
  <c r="A167" i="20"/>
  <c r="AF166" i="20"/>
  <c r="AE166" i="20"/>
  <c r="AD166" i="20"/>
  <c r="AC166" i="20"/>
  <c r="AB166" i="20"/>
  <c r="Y166" i="20"/>
  <c r="B166" i="20"/>
  <c r="A166" i="20"/>
  <c r="AF165" i="20"/>
  <c r="AE165" i="20"/>
  <c r="AD165" i="20"/>
  <c r="AC165" i="20"/>
  <c r="AB165" i="20"/>
  <c r="AA165" i="20"/>
  <c r="Z165" i="20"/>
  <c r="Y165" i="20"/>
  <c r="B165" i="20"/>
  <c r="A165" i="20"/>
  <c r="Y164" i="20"/>
  <c r="B164" i="20"/>
  <c r="A164" i="20"/>
  <c r="AB163" i="20"/>
  <c r="B163" i="20"/>
  <c r="A163" i="20"/>
  <c r="AC162" i="20"/>
  <c r="AB162" i="20"/>
  <c r="Z162" i="20"/>
  <c r="B162" i="20"/>
  <c r="A162" i="20"/>
  <c r="AF161" i="20"/>
  <c r="AE161" i="20"/>
  <c r="AD161" i="20"/>
  <c r="AA161" i="20"/>
  <c r="Z161" i="20"/>
  <c r="B161" i="20"/>
  <c r="A161" i="20"/>
  <c r="AF160" i="20"/>
  <c r="AE160" i="20"/>
  <c r="AB160" i="20"/>
  <c r="B160" i="20"/>
  <c r="AD160" i="20" s="1"/>
  <c r="A160" i="20"/>
  <c r="AF159" i="20"/>
  <c r="AE159" i="20"/>
  <c r="AD159" i="20"/>
  <c r="AC159" i="20"/>
  <c r="AB159" i="20"/>
  <c r="AA159" i="20"/>
  <c r="Z159" i="20"/>
  <c r="Y159" i="20"/>
  <c r="B159" i="20"/>
  <c r="A159" i="20"/>
  <c r="AC158" i="20"/>
  <c r="Y158" i="20"/>
  <c r="B158" i="20"/>
  <c r="A158" i="20"/>
  <c r="AD157" i="20"/>
  <c r="Y157" i="20"/>
  <c r="B157" i="20"/>
  <c r="A157" i="20"/>
  <c r="AF156" i="20"/>
  <c r="AB156" i="20"/>
  <c r="B156" i="20"/>
  <c r="A156" i="20"/>
  <c r="B155" i="20"/>
  <c r="A155" i="20"/>
  <c r="AF154" i="20"/>
  <c r="AD154" i="20"/>
  <c r="AC154" i="20"/>
  <c r="Y154" i="20"/>
  <c r="B154" i="20"/>
  <c r="AE154" i="20" s="1"/>
  <c r="A154" i="20"/>
  <c r="AF153" i="20"/>
  <c r="AE153" i="20"/>
  <c r="AD153" i="20"/>
  <c r="AC153" i="20"/>
  <c r="AB153" i="20"/>
  <c r="AA153" i="20"/>
  <c r="Z153" i="20"/>
  <c r="Y153" i="20"/>
  <c r="B153" i="20"/>
  <c r="A153" i="20"/>
  <c r="AF152" i="20"/>
  <c r="AD152" i="20"/>
  <c r="AC152" i="20"/>
  <c r="AA152" i="20"/>
  <c r="Z152" i="20"/>
  <c r="Y152" i="20"/>
  <c r="B152" i="20"/>
  <c r="AE152" i="20" s="1"/>
  <c r="A152" i="20"/>
  <c r="AE151" i="20"/>
  <c r="AD151" i="20"/>
  <c r="AB151" i="20"/>
  <c r="AA151" i="20"/>
  <c r="Z151" i="20"/>
  <c r="Y151" i="20"/>
  <c r="B151" i="20"/>
  <c r="A151" i="20"/>
  <c r="AF150" i="20"/>
  <c r="AC150" i="20"/>
  <c r="AB150" i="20"/>
  <c r="Z150" i="20"/>
  <c r="Y150" i="20"/>
  <c r="B150" i="20"/>
  <c r="A150" i="20"/>
  <c r="AE149" i="20"/>
  <c r="Z149" i="20"/>
  <c r="B149" i="20"/>
  <c r="A149" i="20"/>
  <c r="AD148" i="20"/>
  <c r="B148" i="20"/>
  <c r="A148" i="20"/>
  <c r="AF147" i="20"/>
  <c r="AE147" i="20"/>
  <c r="AD147" i="20"/>
  <c r="AC147" i="20"/>
  <c r="AB147" i="20"/>
  <c r="AA147" i="20"/>
  <c r="Z147" i="20"/>
  <c r="Y147" i="20"/>
  <c r="B147" i="20"/>
  <c r="A147" i="20"/>
  <c r="AF146" i="20"/>
  <c r="AD146" i="20"/>
  <c r="AB146" i="20"/>
  <c r="AA146" i="20"/>
  <c r="Z146" i="20"/>
  <c r="B146" i="20"/>
  <c r="AE146" i="20" s="1"/>
  <c r="A146" i="20"/>
  <c r="Z145" i="20"/>
  <c r="B145" i="20"/>
  <c r="A145" i="20"/>
  <c r="AE144" i="20"/>
  <c r="AD144" i="20"/>
  <c r="AC144" i="20"/>
  <c r="AB144" i="20"/>
  <c r="AA144" i="20"/>
  <c r="Z144" i="20"/>
  <c r="Y144" i="20"/>
  <c r="Z138" i="20"/>
  <c r="Y138" i="20"/>
  <c r="W138" i="20"/>
  <c r="V138" i="20"/>
  <c r="U138" i="20"/>
  <c r="B138" i="20"/>
  <c r="A138" i="20"/>
  <c r="Y137" i="20"/>
  <c r="X137" i="20"/>
  <c r="W137" i="20"/>
  <c r="V137" i="20"/>
  <c r="U137" i="20"/>
  <c r="T137" i="20"/>
  <c r="S137" i="20"/>
  <c r="B137" i="20"/>
  <c r="Z137" i="20" s="1"/>
  <c r="A137" i="20"/>
  <c r="V136" i="20"/>
  <c r="B136" i="20"/>
  <c r="A136" i="20"/>
  <c r="W135" i="20"/>
  <c r="U135" i="20"/>
  <c r="T135" i="20"/>
  <c r="B135" i="20"/>
  <c r="A135" i="20"/>
  <c r="Z134" i="20"/>
  <c r="Y134" i="20"/>
  <c r="V134" i="20"/>
  <c r="U134" i="20"/>
  <c r="S134" i="20"/>
  <c r="B134" i="20"/>
  <c r="A134" i="20"/>
  <c r="Z133" i="20"/>
  <c r="Y133" i="20"/>
  <c r="X133" i="20"/>
  <c r="W133" i="20"/>
  <c r="V133" i="20"/>
  <c r="U133" i="20"/>
  <c r="T133" i="20"/>
  <c r="S133" i="20"/>
  <c r="B133" i="20"/>
  <c r="A133" i="20"/>
  <c r="B132" i="20"/>
  <c r="A132" i="20"/>
  <c r="Y131" i="20"/>
  <c r="X131" i="20"/>
  <c r="W131" i="20"/>
  <c r="V131" i="20"/>
  <c r="U131" i="20"/>
  <c r="T131" i="20"/>
  <c r="S131" i="20"/>
  <c r="B131" i="20"/>
  <c r="Z131" i="20" s="1"/>
  <c r="A131" i="20"/>
  <c r="Z130" i="20"/>
  <c r="Y130" i="20"/>
  <c r="W130" i="20"/>
  <c r="V130" i="20"/>
  <c r="U130" i="20"/>
  <c r="T130" i="20"/>
  <c r="S130" i="20"/>
  <c r="B130" i="20"/>
  <c r="X130" i="20" s="1"/>
  <c r="A130" i="20"/>
  <c r="X129" i="20"/>
  <c r="W129" i="20"/>
  <c r="U129" i="20"/>
  <c r="T129" i="20"/>
  <c r="S129" i="20"/>
  <c r="B129" i="20"/>
  <c r="A129" i="20"/>
  <c r="Y128" i="20"/>
  <c r="S128" i="20"/>
  <c r="B128" i="20"/>
  <c r="A128" i="20"/>
  <c r="Z127" i="20"/>
  <c r="Y127" i="20"/>
  <c r="X127" i="20"/>
  <c r="W127" i="20"/>
  <c r="V127" i="20"/>
  <c r="U127" i="20"/>
  <c r="T127" i="20"/>
  <c r="S127" i="20"/>
  <c r="B127" i="20"/>
  <c r="A127" i="20"/>
  <c r="Z126" i="20"/>
  <c r="Y126" i="20"/>
  <c r="V126" i="20"/>
  <c r="B126" i="20"/>
  <c r="X126" i="20" s="1"/>
  <c r="A126" i="20"/>
  <c r="Y125" i="20"/>
  <c r="X125" i="20"/>
  <c r="W125" i="20"/>
  <c r="V125" i="20"/>
  <c r="U125" i="20"/>
  <c r="T125" i="20"/>
  <c r="S125" i="20"/>
  <c r="B125" i="20"/>
  <c r="Z125" i="20" s="1"/>
  <c r="A125" i="20"/>
  <c r="S124" i="20"/>
  <c r="B124" i="20"/>
  <c r="A124" i="20"/>
  <c r="W123" i="20"/>
  <c r="U123" i="20"/>
  <c r="S123" i="20"/>
  <c r="B123" i="20"/>
  <c r="X123" i="20" s="1"/>
  <c r="A123" i="20"/>
  <c r="Z122" i="20"/>
  <c r="V122" i="20"/>
  <c r="U122" i="20"/>
  <c r="S122" i="20"/>
  <c r="B122" i="20"/>
  <c r="A122" i="20"/>
  <c r="Z121" i="20"/>
  <c r="Y121" i="20"/>
  <c r="X121" i="20"/>
  <c r="W121" i="20"/>
  <c r="V121" i="20"/>
  <c r="U121" i="20"/>
  <c r="T121" i="20"/>
  <c r="S121" i="20"/>
  <c r="B121" i="20"/>
  <c r="A121" i="20"/>
  <c r="X120" i="20"/>
  <c r="B120" i="20"/>
  <c r="A120" i="20"/>
  <c r="Y119" i="20"/>
  <c r="X119" i="20"/>
  <c r="W119" i="20"/>
  <c r="V119" i="20"/>
  <c r="U119" i="20"/>
  <c r="T119" i="20"/>
  <c r="S119" i="20"/>
  <c r="B119" i="20"/>
  <c r="Z119" i="20" s="1"/>
  <c r="A119" i="20"/>
  <c r="Z118" i="20"/>
  <c r="Y118" i="20"/>
  <c r="W118" i="20"/>
  <c r="U118" i="20"/>
  <c r="T118" i="20"/>
  <c r="S118" i="20"/>
  <c r="B118" i="20"/>
  <c r="X118" i="20" s="1"/>
  <c r="A118" i="20"/>
  <c r="B117" i="20"/>
  <c r="A117" i="20"/>
  <c r="Z116" i="20"/>
  <c r="Y116" i="20"/>
  <c r="V116" i="20"/>
  <c r="B116" i="20"/>
  <c r="A116" i="20"/>
  <c r="Z115" i="20"/>
  <c r="Y115" i="20"/>
  <c r="X115" i="20"/>
  <c r="W115" i="20"/>
  <c r="V115" i="20"/>
  <c r="U115" i="20"/>
  <c r="T115" i="20"/>
  <c r="S115" i="20"/>
  <c r="B115" i="20"/>
  <c r="A115" i="20"/>
  <c r="Z114" i="20"/>
  <c r="Y114" i="20"/>
  <c r="X114" i="20"/>
  <c r="W114" i="20"/>
  <c r="V114" i="20"/>
  <c r="U114" i="20"/>
  <c r="B114" i="20"/>
  <c r="A114" i="20"/>
  <c r="Y113" i="20"/>
  <c r="X113" i="20"/>
  <c r="W113" i="20"/>
  <c r="V113" i="20"/>
  <c r="U113" i="20"/>
  <c r="T113" i="20"/>
  <c r="S113" i="20"/>
  <c r="B113" i="20"/>
  <c r="Z113" i="20" s="1"/>
  <c r="A113" i="20"/>
  <c r="B112" i="20"/>
  <c r="A112" i="20"/>
  <c r="U111" i="20"/>
  <c r="B111" i="20"/>
  <c r="A111" i="20"/>
  <c r="Z110" i="20"/>
  <c r="U110" i="20"/>
  <c r="B110" i="20"/>
  <c r="Y110" i="20" s="1"/>
  <c r="A110" i="20"/>
  <c r="Z109" i="20"/>
  <c r="Y109" i="20"/>
  <c r="X109" i="20"/>
  <c r="W109" i="20"/>
  <c r="V109" i="20"/>
  <c r="U109" i="20"/>
  <c r="T109" i="20"/>
  <c r="S109" i="20"/>
  <c r="B109" i="20"/>
  <c r="A109" i="20"/>
  <c r="U108" i="20"/>
  <c r="B108" i="20"/>
  <c r="A108" i="20"/>
  <c r="Y107" i="20"/>
  <c r="X107" i="20"/>
  <c r="W107" i="20"/>
  <c r="V107" i="20"/>
  <c r="U107" i="20"/>
  <c r="T107" i="20"/>
  <c r="S107" i="20"/>
  <c r="B107" i="20"/>
  <c r="Z107" i="20" s="1"/>
  <c r="A107" i="20"/>
  <c r="Z106" i="20"/>
  <c r="Y106" i="20"/>
  <c r="W106" i="20"/>
  <c r="T106" i="20"/>
  <c r="B106" i="20"/>
  <c r="X106" i="20" s="1"/>
  <c r="A106" i="20"/>
  <c r="X105" i="20"/>
  <c r="W105" i="20"/>
  <c r="S105" i="20"/>
  <c r="B105" i="20"/>
  <c r="A105" i="20"/>
  <c r="Y104" i="20"/>
  <c r="B104" i="20"/>
  <c r="A104" i="20"/>
  <c r="Z103" i="20"/>
  <c r="Y103" i="20"/>
  <c r="X103" i="20"/>
  <c r="W103" i="20"/>
  <c r="V103" i="20"/>
  <c r="U103" i="20"/>
  <c r="T103" i="20"/>
  <c r="S103" i="20"/>
  <c r="B103" i="20"/>
  <c r="A103" i="20"/>
  <c r="Z102" i="20"/>
  <c r="Y102" i="20"/>
  <c r="W102" i="20"/>
  <c r="V102" i="20"/>
  <c r="U102" i="20"/>
  <c r="B102" i="20"/>
  <c r="A102" i="20"/>
  <c r="Y101" i="20"/>
  <c r="X101" i="20"/>
  <c r="W101" i="20"/>
  <c r="V101" i="20"/>
  <c r="U101" i="20"/>
  <c r="T101" i="20"/>
  <c r="S101" i="20"/>
  <c r="B101" i="20"/>
  <c r="Z101" i="20" s="1"/>
  <c r="A101" i="20"/>
  <c r="V100" i="20"/>
  <c r="B100" i="20"/>
  <c r="A100" i="20"/>
  <c r="W99" i="20"/>
  <c r="U99" i="20"/>
  <c r="T99" i="20"/>
  <c r="B99" i="20"/>
  <c r="A99" i="20"/>
  <c r="Y98" i="20"/>
  <c r="X98" i="20"/>
  <c r="W98" i="20"/>
  <c r="V98" i="20"/>
  <c r="U98" i="20"/>
  <c r="T98" i="20"/>
  <c r="S98" i="20"/>
  <c r="AF92" i="20"/>
  <c r="AE92" i="20"/>
  <c r="AD92" i="20"/>
  <c r="AC92" i="20"/>
  <c r="AB92" i="20"/>
  <c r="AA92" i="20"/>
  <c r="Z92" i="20"/>
  <c r="Y92" i="20"/>
  <c r="B92" i="20"/>
  <c r="A92" i="20"/>
  <c r="AD91" i="20"/>
  <c r="AC91" i="20"/>
  <c r="AB91" i="20"/>
  <c r="AA91" i="20"/>
  <c r="Z91" i="20"/>
  <c r="Y91" i="20"/>
  <c r="B91" i="20"/>
  <c r="AE91" i="20" s="1"/>
  <c r="A91" i="20"/>
  <c r="Y90" i="20"/>
  <c r="B90" i="20"/>
  <c r="A90" i="20"/>
  <c r="AC89" i="20"/>
  <c r="B89" i="20"/>
  <c r="A89" i="20"/>
  <c r="AE88" i="20"/>
  <c r="AD88" i="20"/>
  <c r="AA88" i="20"/>
  <c r="B88" i="20"/>
  <c r="A88" i="20"/>
  <c r="AC87" i="20"/>
  <c r="AB87" i="20"/>
  <c r="Y87" i="20"/>
  <c r="B87" i="20"/>
  <c r="A87" i="20"/>
  <c r="AF86" i="20"/>
  <c r="AE86" i="20"/>
  <c r="AD86" i="20"/>
  <c r="AC86" i="20"/>
  <c r="AB86" i="20"/>
  <c r="AA86" i="20"/>
  <c r="Z86" i="20"/>
  <c r="Y86" i="20"/>
  <c r="B86" i="20"/>
  <c r="A86" i="20"/>
  <c r="AF85" i="20"/>
  <c r="AD85" i="20"/>
  <c r="AB85" i="20"/>
  <c r="AA85" i="20"/>
  <c r="Y85" i="20"/>
  <c r="B85" i="20"/>
  <c r="AE85" i="20" s="1"/>
  <c r="A85" i="20"/>
  <c r="AE84" i="20"/>
  <c r="AB84" i="20"/>
  <c r="AA84" i="20"/>
  <c r="Z84" i="20"/>
  <c r="B84" i="20"/>
  <c r="A84" i="20"/>
  <c r="AB83" i="20"/>
  <c r="B83" i="20"/>
  <c r="A83" i="20"/>
  <c r="AF82" i="20"/>
  <c r="AD82" i="20"/>
  <c r="AC82" i="20"/>
  <c r="Z82" i="20"/>
  <c r="B82" i="20"/>
  <c r="AE82" i="20" s="1"/>
  <c r="A82" i="20"/>
  <c r="AF81" i="20"/>
  <c r="AC81" i="20"/>
  <c r="B81" i="20"/>
  <c r="A81" i="20"/>
  <c r="AF80" i="20"/>
  <c r="AE80" i="20"/>
  <c r="AD80" i="20"/>
  <c r="AC80" i="20"/>
  <c r="AB80" i="20"/>
  <c r="AA80" i="20"/>
  <c r="Z80" i="20"/>
  <c r="Y80" i="20"/>
  <c r="B80" i="20"/>
  <c r="A80" i="20"/>
  <c r="B79" i="20"/>
  <c r="A79" i="20"/>
  <c r="AE78" i="20"/>
  <c r="AB78" i="20"/>
  <c r="AA78" i="20"/>
  <c r="Y78" i="20"/>
  <c r="B78" i="20"/>
  <c r="AD78" i="20" s="1"/>
  <c r="A78" i="20"/>
  <c r="AF77" i="20"/>
  <c r="AC77" i="20"/>
  <c r="AB77" i="20"/>
  <c r="Z77" i="20"/>
  <c r="B77" i="20"/>
  <c r="A77" i="20"/>
  <c r="B76" i="20"/>
  <c r="A76" i="20"/>
  <c r="AC75" i="20"/>
  <c r="B75" i="20"/>
  <c r="A75" i="20"/>
  <c r="AF74" i="20"/>
  <c r="AE74" i="20"/>
  <c r="AD74" i="20"/>
  <c r="AC74" i="20"/>
  <c r="AB74" i="20"/>
  <c r="AA74" i="20"/>
  <c r="Z74" i="20"/>
  <c r="Y74" i="20"/>
  <c r="B74" i="20"/>
  <c r="A74" i="20"/>
  <c r="AF73" i="20"/>
  <c r="AD73" i="20"/>
  <c r="AB73" i="20"/>
  <c r="AA73" i="20"/>
  <c r="Z73" i="20"/>
  <c r="B73" i="20"/>
  <c r="AE73" i="20" s="1"/>
  <c r="A73" i="20"/>
  <c r="B72" i="20"/>
  <c r="A72" i="20"/>
  <c r="AF71" i="20"/>
  <c r="AC71" i="20"/>
  <c r="AB71" i="20"/>
  <c r="Y71" i="20"/>
  <c r="B71" i="20"/>
  <c r="AE71" i="20" s="1"/>
  <c r="A71" i="20"/>
  <c r="AF70" i="20"/>
  <c r="AD70" i="20"/>
  <c r="AC70" i="20"/>
  <c r="AA70" i="20"/>
  <c r="B70" i="20"/>
  <c r="A70" i="20"/>
  <c r="AC69" i="20"/>
  <c r="B69" i="20"/>
  <c r="A69" i="20"/>
  <c r="AF68" i="20"/>
  <c r="AE68" i="20"/>
  <c r="AD68" i="20"/>
  <c r="AC68" i="20"/>
  <c r="AB68" i="20"/>
  <c r="AA68" i="20"/>
  <c r="Z68" i="20"/>
  <c r="Y68" i="20"/>
  <c r="B68" i="20"/>
  <c r="A68" i="20"/>
  <c r="AF67" i="20"/>
  <c r="AD67" i="20"/>
  <c r="AB67" i="20"/>
  <c r="AA67" i="20"/>
  <c r="Y67" i="20"/>
  <c r="B67" i="20"/>
  <c r="AE67" i="20" s="1"/>
  <c r="A67" i="20"/>
  <c r="AE66" i="20"/>
  <c r="AB66" i="20"/>
  <c r="AA66" i="20"/>
  <c r="Z66" i="20"/>
  <c r="B66" i="20"/>
  <c r="A66" i="20"/>
  <c r="Z65" i="20"/>
  <c r="B65" i="20"/>
  <c r="A65" i="20"/>
  <c r="AF64" i="20"/>
  <c r="AD64" i="20"/>
  <c r="AC64" i="20"/>
  <c r="Z64" i="20"/>
  <c r="B64" i="20"/>
  <c r="AE64" i="20" s="1"/>
  <c r="A64" i="20"/>
  <c r="AB63" i="20"/>
  <c r="B63" i="20"/>
  <c r="A63" i="20"/>
  <c r="AF62" i="20"/>
  <c r="AE62" i="20"/>
  <c r="AD62" i="20"/>
  <c r="AC62" i="20"/>
  <c r="AB62" i="20"/>
  <c r="AA62" i="20"/>
  <c r="Z62" i="20"/>
  <c r="Y62" i="20"/>
  <c r="B62" i="20"/>
  <c r="A62" i="20"/>
  <c r="AA61" i="20"/>
  <c r="B61" i="20"/>
  <c r="A61" i="20"/>
  <c r="AE60" i="20"/>
  <c r="AB60" i="20"/>
  <c r="AA60" i="20"/>
  <c r="Y60" i="20"/>
  <c r="B60" i="20"/>
  <c r="AD60" i="20" s="1"/>
  <c r="A60" i="20"/>
  <c r="AF59" i="20"/>
  <c r="AC59" i="20"/>
  <c r="AB59" i="20"/>
  <c r="Z59" i="20"/>
  <c r="B59" i="20"/>
  <c r="A59" i="20"/>
  <c r="AA58" i="20"/>
  <c r="B58" i="20"/>
  <c r="A58" i="20"/>
  <c r="B57" i="20"/>
  <c r="A57" i="20"/>
  <c r="AF56" i="20"/>
  <c r="AE56" i="20"/>
  <c r="AD56" i="20"/>
  <c r="AC56" i="20"/>
  <c r="AB56" i="20"/>
  <c r="AA56" i="20"/>
  <c r="Z56" i="20"/>
  <c r="Y56" i="20"/>
  <c r="B56" i="20"/>
  <c r="A56" i="20"/>
  <c r="AF55" i="20"/>
  <c r="AD55" i="20"/>
  <c r="AB55" i="20"/>
  <c r="AA55" i="20"/>
  <c r="Z55" i="20"/>
  <c r="B55" i="20"/>
  <c r="AE55" i="20" s="1"/>
  <c r="A55" i="20"/>
  <c r="AA54" i="20"/>
  <c r="B54" i="20"/>
  <c r="A54" i="20"/>
  <c r="AF53" i="20"/>
  <c r="AC53" i="20"/>
  <c r="AB53" i="20"/>
  <c r="Y53" i="20"/>
  <c r="B53" i="20"/>
  <c r="AE53" i="20" s="1"/>
  <c r="A53" i="20"/>
  <c r="AE52" i="20"/>
  <c r="AD52" i="20"/>
  <c r="AC52" i="20"/>
  <c r="AB52" i="20"/>
  <c r="AA52" i="20"/>
  <c r="Z52" i="20"/>
  <c r="Y52" i="20"/>
  <c r="J17" i="20"/>
  <c r="I17" i="20"/>
  <c r="H17" i="20"/>
  <c r="G17" i="20"/>
  <c r="F17" i="20"/>
  <c r="K16" i="20"/>
  <c r="J16" i="20"/>
  <c r="I16" i="20"/>
  <c r="H16" i="20"/>
  <c r="G16" i="20"/>
  <c r="F16" i="20"/>
  <c r="J15" i="20"/>
  <c r="I15" i="20"/>
  <c r="H15" i="20"/>
  <c r="G15" i="20"/>
  <c r="F15" i="20"/>
  <c r="J14" i="20"/>
  <c r="K14" i="20" s="1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J11" i="20"/>
  <c r="I11" i="20"/>
  <c r="H11" i="20"/>
  <c r="G11" i="20"/>
  <c r="K11" i="20" s="1"/>
  <c r="F11" i="20"/>
  <c r="E7" i="20"/>
  <c r="D7" i="20"/>
  <c r="C7" i="20"/>
  <c r="B7" i="20"/>
  <c r="A7" i="20"/>
  <c r="A5" i="20"/>
  <c r="J2" i="20"/>
  <c r="H2" i="20"/>
  <c r="F2" i="20"/>
  <c r="D2" i="20"/>
  <c r="B2" i="20"/>
  <c r="A1" i="20"/>
  <c r="U230" i="19"/>
  <c r="T230" i="19"/>
  <c r="S230" i="19"/>
  <c r="R230" i="19"/>
  <c r="Q230" i="19"/>
  <c r="P230" i="19"/>
  <c r="B230" i="19"/>
  <c r="V230" i="19" s="1"/>
  <c r="A230" i="19"/>
  <c r="B229" i="19"/>
  <c r="A229" i="19"/>
  <c r="P228" i="19"/>
  <c r="B228" i="19"/>
  <c r="A228" i="19"/>
  <c r="W227" i="19"/>
  <c r="V227" i="19"/>
  <c r="U227" i="19"/>
  <c r="T227" i="19"/>
  <c r="R227" i="19"/>
  <c r="Q227" i="19"/>
  <c r="B227" i="19"/>
  <c r="A227" i="19"/>
  <c r="W226" i="19"/>
  <c r="V226" i="19"/>
  <c r="U226" i="19"/>
  <c r="S226" i="19"/>
  <c r="R226" i="19"/>
  <c r="P226" i="19"/>
  <c r="B226" i="19"/>
  <c r="Q226" i="19" s="1"/>
  <c r="A226" i="19"/>
  <c r="W225" i="19"/>
  <c r="V225" i="19"/>
  <c r="U225" i="19"/>
  <c r="T225" i="19"/>
  <c r="S225" i="19"/>
  <c r="R225" i="19"/>
  <c r="Q225" i="19"/>
  <c r="P225" i="19"/>
  <c r="B225" i="19"/>
  <c r="A225" i="19"/>
  <c r="T224" i="19"/>
  <c r="P224" i="19"/>
  <c r="B224" i="19"/>
  <c r="A224" i="19"/>
  <c r="V223" i="19"/>
  <c r="U223" i="19"/>
  <c r="S223" i="19"/>
  <c r="R223" i="19"/>
  <c r="Q223" i="19"/>
  <c r="P223" i="19"/>
  <c r="B223" i="19"/>
  <c r="A223" i="19"/>
  <c r="V222" i="19"/>
  <c r="T222" i="19"/>
  <c r="Q222" i="19"/>
  <c r="B222" i="19"/>
  <c r="A222" i="19"/>
  <c r="Q221" i="19"/>
  <c r="B221" i="19"/>
  <c r="A221" i="19"/>
  <c r="W220" i="19"/>
  <c r="V220" i="19"/>
  <c r="U220" i="19"/>
  <c r="S220" i="19"/>
  <c r="R220" i="19"/>
  <c r="B220" i="19"/>
  <c r="Q220" i="19" s="1"/>
  <c r="A220" i="19"/>
  <c r="W219" i="19"/>
  <c r="V219" i="19"/>
  <c r="U219" i="19"/>
  <c r="T219" i="19"/>
  <c r="S219" i="19"/>
  <c r="R219" i="19"/>
  <c r="Q219" i="19"/>
  <c r="P219" i="19"/>
  <c r="B219" i="19"/>
  <c r="A219" i="19"/>
  <c r="S218" i="19"/>
  <c r="Q218" i="19"/>
  <c r="B218" i="19"/>
  <c r="T218" i="19" s="1"/>
  <c r="A218" i="19"/>
  <c r="P217" i="19"/>
  <c r="B217" i="19"/>
  <c r="A217" i="19"/>
  <c r="W216" i="19"/>
  <c r="V216" i="19"/>
  <c r="T216" i="19"/>
  <c r="S216" i="19"/>
  <c r="Q216" i="19"/>
  <c r="P216" i="19"/>
  <c r="B216" i="19"/>
  <c r="A216" i="19"/>
  <c r="B215" i="19"/>
  <c r="A215" i="19"/>
  <c r="W214" i="19"/>
  <c r="V214" i="19"/>
  <c r="U214" i="19"/>
  <c r="T214" i="19"/>
  <c r="S214" i="19"/>
  <c r="R214" i="19"/>
  <c r="P214" i="19"/>
  <c r="B214" i="19"/>
  <c r="Q214" i="19" s="1"/>
  <c r="A214" i="19"/>
  <c r="W213" i="19"/>
  <c r="V213" i="19"/>
  <c r="U213" i="19"/>
  <c r="T213" i="19"/>
  <c r="S213" i="19"/>
  <c r="R213" i="19"/>
  <c r="Q213" i="19"/>
  <c r="P213" i="19"/>
  <c r="B213" i="19"/>
  <c r="A213" i="19"/>
  <c r="U212" i="19"/>
  <c r="T212" i="19"/>
  <c r="S212" i="19"/>
  <c r="R212" i="19"/>
  <c r="Q212" i="19"/>
  <c r="P212" i="19"/>
  <c r="B212" i="19"/>
  <c r="V212" i="19" s="1"/>
  <c r="A212" i="19"/>
  <c r="S211" i="19"/>
  <c r="B211" i="19"/>
  <c r="A211" i="19"/>
  <c r="V210" i="19"/>
  <c r="P210" i="19"/>
  <c r="B210" i="19"/>
  <c r="A210" i="19"/>
  <c r="W209" i="19"/>
  <c r="V209" i="19"/>
  <c r="U209" i="19"/>
  <c r="T209" i="19"/>
  <c r="R209" i="19"/>
  <c r="Q209" i="19"/>
  <c r="B209" i="19"/>
  <c r="A209" i="19"/>
  <c r="W208" i="19"/>
  <c r="V208" i="19"/>
  <c r="U208" i="19"/>
  <c r="S208" i="19"/>
  <c r="R208" i="19"/>
  <c r="P208" i="19"/>
  <c r="B208" i="19"/>
  <c r="Q208" i="19" s="1"/>
  <c r="A208" i="19"/>
  <c r="W207" i="19"/>
  <c r="V207" i="19"/>
  <c r="U207" i="19"/>
  <c r="T207" i="19"/>
  <c r="S207" i="19"/>
  <c r="R207" i="19"/>
  <c r="Q207" i="19"/>
  <c r="P207" i="19"/>
  <c r="B207" i="19"/>
  <c r="A207" i="19"/>
  <c r="P206" i="19"/>
  <c r="B206" i="19"/>
  <c r="A206" i="19"/>
  <c r="V205" i="19"/>
  <c r="U205" i="19"/>
  <c r="T205" i="19"/>
  <c r="R205" i="19"/>
  <c r="Q205" i="19"/>
  <c r="B205" i="19"/>
  <c r="W205" i="19" s="1"/>
  <c r="A205" i="19"/>
  <c r="W204" i="19"/>
  <c r="V204" i="19"/>
  <c r="S204" i="19"/>
  <c r="R204" i="19"/>
  <c r="Q204" i="19"/>
  <c r="B204" i="19"/>
  <c r="U204" i="19" s="1"/>
  <c r="A204" i="19"/>
  <c r="T203" i="19"/>
  <c r="S203" i="19"/>
  <c r="Q203" i="19"/>
  <c r="B203" i="19"/>
  <c r="A203" i="19"/>
  <c r="R202" i="19"/>
  <c r="B202" i="19"/>
  <c r="A202" i="19"/>
  <c r="B201" i="19"/>
  <c r="A201" i="19"/>
  <c r="W200" i="19"/>
  <c r="V200" i="19"/>
  <c r="U200" i="19"/>
  <c r="S200" i="19"/>
  <c r="R200" i="19"/>
  <c r="P200" i="19"/>
  <c r="B200" i="19"/>
  <c r="Q200" i="19" s="1"/>
  <c r="A200" i="19"/>
  <c r="W199" i="19"/>
  <c r="U199" i="19"/>
  <c r="T199" i="19"/>
  <c r="S199" i="19"/>
  <c r="R199" i="19"/>
  <c r="Q199" i="19"/>
  <c r="P199" i="19"/>
  <c r="B199" i="19"/>
  <c r="V199" i="19" s="1"/>
  <c r="A199" i="19"/>
  <c r="V198" i="19"/>
  <c r="U198" i="19"/>
  <c r="S198" i="19"/>
  <c r="R198" i="19"/>
  <c r="Q198" i="19"/>
  <c r="B198" i="19"/>
  <c r="W198" i="19" s="1"/>
  <c r="A198" i="19"/>
  <c r="T197" i="19"/>
  <c r="S197" i="19"/>
  <c r="P197" i="19"/>
  <c r="B197" i="19"/>
  <c r="A197" i="19"/>
  <c r="Q196" i="19"/>
  <c r="B196" i="19"/>
  <c r="A196" i="19"/>
  <c r="W195" i="19"/>
  <c r="T195" i="19"/>
  <c r="P195" i="19"/>
  <c r="B195" i="19"/>
  <c r="A195" i="19"/>
  <c r="W194" i="19"/>
  <c r="V194" i="19"/>
  <c r="U194" i="19"/>
  <c r="S194" i="19"/>
  <c r="R194" i="19"/>
  <c r="P194" i="19"/>
  <c r="B194" i="19"/>
  <c r="Q194" i="19" s="1"/>
  <c r="A194" i="19"/>
  <c r="W193" i="19"/>
  <c r="U193" i="19"/>
  <c r="T193" i="19"/>
  <c r="S193" i="19"/>
  <c r="R193" i="19"/>
  <c r="Q193" i="19"/>
  <c r="P193" i="19"/>
  <c r="B193" i="19"/>
  <c r="V193" i="19" s="1"/>
  <c r="A193" i="19"/>
  <c r="V192" i="19"/>
  <c r="U192" i="19"/>
  <c r="S192" i="19"/>
  <c r="R192" i="19"/>
  <c r="Q192" i="19"/>
  <c r="B192" i="19"/>
  <c r="W192" i="19" s="1"/>
  <c r="A192" i="19"/>
  <c r="B191" i="19"/>
  <c r="A191" i="19"/>
  <c r="V190" i="19"/>
  <c r="U190" i="19"/>
  <c r="T190" i="19"/>
  <c r="S190" i="19"/>
  <c r="R190" i="19"/>
  <c r="Q190" i="19"/>
  <c r="P190" i="19"/>
  <c r="AE184" i="19"/>
  <c r="AD184" i="19"/>
  <c r="AC184" i="19"/>
  <c r="AA184" i="19"/>
  <c r="Z184" i="19"/>
  <c r="B184" i="19"/>
  <c r="Y184" i="19" s="1"/>
  <c r="A184" i="19"/>
  <c r="AF183" i="19"/>
  <c r="AE183" i="19"/>
  <c r="AB183" i="19"/>
  <c r="B183" i="19"/>
  <c r="A183" i="19"/>
  <c r="AF182" i="19"/>
  <c r="AE182" i="19"/>
  <c r="AD182" i="19"/>
  <c r="AC182" i="19"/>
  <c r="AA182" i="19"/>
  <c r="Z182" i="19"/>
  <c r="Y182" i="19"/>
  <c r="B182" i="19"/>
  <c r="AB182" i="19" s="1"/>
  <c r="A182" i="19"/>
  <c r="B181" i="19"/>
  <c r="A181" i="19"/>
  <c r="AF180" i="19"/>
  <c r="AE180" i="19"/>
  <c r="AD180" i="19"/>
  <c r="AC180" i="19"/>
  <c r="AB180" i="19"/>
  <c r="AA180" i="19"/>
  <c r="Z180" i="19"/>
  <c r="Y180" i="19"/>
  <c r="B180" i="19"/>
  <c r="A180" i="19"/>
  <c r="AF179" i="19"/>
  <c r="AE179" i="19"/>
  <c r="AB179" i="19"/>
  <c r="B179" i="19"/>
  <c r="A179" i="19"/>
  <c r="AE178" i="19"/>
  <c r="AD178" i="19"/>
  <c r="AC178" i="19"/>
  <c r="AA178" i="19"/>
  <c r="Z178" i="19"/>
  <c r="B178" i="19"/>
  <c r="Y178" i="19" s="1"/>
  <c r="A178" i="19"/>
  <c r="AF177" i="19"/>
  <c r="AE177" i="19"/>
  <c r="AC177" i="19"/>
  <c r="AA177" i="19"/>
  <c r="B177" i="19"/>
  <c r="A177" i="19"/>
  <c r="AF176" i="19"/>
  <c r="AE176" i="19"/>
  <c r="AD176" i="19"/>
  <c r="AC176" i="19"/>
  <c r="AA176" i="19"/>
  <c r="Z176" i="19"/>
  <c r="Y176" i="19"/>
  <c r="B176" i="19"/>
  <c r="AB176" i="19" s="1"/>
  <c r="A176" i="19"/>
  <c r="AF175" i="19"/>
  <c r="AB175" i="19"/>
  <c r="AA175" i="19"/>
  <c r="Y175" i="19"/>
  <c r="B175" i="19"/>
  <c r="A175" i="19"/>
  <c r="AF174" i="19"/>
  <c r="AE174" i="19"/>
  <c r="AD174" i="19"/>
  <c r="AC174" i="19"/>
  <c r="AB174" i="19"/>
  <c r="AA174" i="19"/>
  <c r="Z174" i="19"/>
  <c r="Y174" i="19"/>
  <c r="B174" i="19"/>
  <c r="A174" i="19"/>
  <c r="AB173" i="19"/>
  <c r="B173" i="19"/>
  <c r="A173" i="19"/>
  <c r="AE172" i="19"/>
  <c r="AD172" i="19"/>
  <c r="AC172" i="19"/>
  <c r="AA172" i="19"/>
  <c r="Z172" i="19"/>
  <c r="B172" i="19"/>
  <c r="Y172" i="19" s="1"/>
  <c r="A172" i="19"/>
  <c r="AA171" i="19"/>
  <c r="B171" i="19"/>
  <c r="A171" i="19"/>
  <c r="AF170" i="19"/>
  <c r="AE170" i="19"/>
  <c r="AD170" i="19"/>
  <c r="AC170" i="19"/>
  <c r="AA170" i="19"/>
  <c r="Z170" i="19"/>
  <c r="Y170" i="19"/>
  <c r="B170" i="19"/>
  <c r="AB170" i="19" s="1"/>
  <c r="A170" i="19"/>
  <c r="AF169" i="19"/>
  <c r="AB169" i="19"/>
  <c r="AA169" i="19"/>
  <c r="B169" i="19"/>
  <c r="A169" i="19"/>
  <c r="AF168" i="19"/>
  <c r="AE168" i="19"/>
  <c r="AD168" i="19"/>
  <c r="AC168" i="19"/>
  <c r="AB168" i="19"/>
  <c r="AA168" i="19"/>
  <c r="Z168" i="19"/>
  <c r="Y168" i="19"/>
  <c r="B168" i="19"/>
  <c r="A168" i="19"/>
  <c r="AF167" i="19"/>
  <c r="AE167" i="19"/>
  <c r="B167" i="19"/>
  <c r="A167" i="19"/>
  <c r="AE166" i="19"/>
  <c r="AD166" i="19"/>
  <c r="AC166" i="19"/>
  <c r="AA166" i="19"/>
  <c r="Z166" i="19"/>
  <c r="B166" i="19"/>
  <c r="Y166" i="19" s="1"/>
  <c r="A166" i="19"/>
  <c r="AF165" i="19"/>
  <c r="AE165" i="19"/>
  <c r="AB165" i="19"/>
  <c r="B165" i="19"/>
  <c r="A165" i="19"/>
  <c r="AF164" i="19"/>
  <c r="AE164" i="19"/>
  <c r="AD164" i="19"/>
  <c r="AC164" i="19"/>
  <c r="AA164" i="19"/>
  <c r="Z164" i="19"/>
  <c r="Y164" i="19"/>
  <c r="B164" i="19"/>
  <c r="AB164" i="19" s="1"/>
  <c r="A164" i="19"/>
  <c r="B163" i="19"/>
  <c r="A163" i="19"/>
  <c r="AF162" i="19"/>
  <c r="AE162" i="19"/>
  <c r="AD162" i="19"/>
  <c r="AC162" i="19"/>
  <c r="AB162" i="19"/>
  <c r="AA162" i="19"/>
  <c r="Z162" i="19"/>
  <c r="Y162" i="19"/>
  <c r="B162" i="19"/>
  <c r="A162" i="19"/>
  <c r="AF161" i="19"/>
  <c r="AE161" i="19"/>
  <c r="AB161" i="19"/>
  <c r="B161" i="19"/>
  <c r="A161" i="19"/>
  <c r="AE160" i="19"/>
  <c r="AD160" i="19"/>
  <c r="AC160" i="19"/>
  <c r="AA160" i="19"/>
  <c r="Z160" i="19"/>
  <c r="B160" i="19"/>
  <c r="Y160" i="19" s="1"/>
  <c r="A160" i="19"/>
  <c r="AE159" i="19"/>
  <c r="AC159" i="19"/>
  <c r="AA159" i="19"/>
  <c r="B159" i="19"/>
  <c r="A159" i="19"/>
  <c r="AF158" i="19"/>
  <c r="AE158" i="19"/>
  <c r="AD158" i="19"/>
  <c r="AC158" i="19"/>
  <c r="AA158" i="19"/>
  <c r="Z158" i="19"/>
  <c r="Y158" i="19"/>
  <c r="B158" i="19"/>
  <c r="AB158" i="19" s="1"/>
  <c r="A158" i="19"/>
  <c r="AF157" i="19"/>
  <c r="AB157" i="19"/>
  <c r="Y157" i="19"/>
  <c r="B157" i="19"/>
  <c r="A157" i="19"/>
  <c r="AF156" i="19"/>
  <c r="AE156" i="19"/>
  <c r="AD156" i="19"/>
  <c r="AC156" i="19"/>
  <c r="AB156" i="19"/>
  <c r="AA156" i="19"/>
  <c r="Z156" i="19"/>
  <c r="Y156" i="19"/>
  <c r="B156" i="19"/>
  <c r="A156" i="19"/>
  <c r="AB155" i="19"/>
  <c r="B155" i="19"/>
  <c r="A155" i="19"/>
  <c r="AE154" i="19"/>
  <c r="AD154" i="19"/>
  <c r="AC154" i="19"/>
  <c r="AA154" i="19"/>
  <c r="Z154" i="19"/>
  <c r="B154" i="19"/>
  <c r="Y154" i="19" s="1"/>
  <c r="A154" i="19"/>
  <c r="B153" i="19"/>
  <c r="A153" i="19"/>
  <c r="AF152" i="19"/>
  <c r="AE152" i="19"/>
  <c r="AD152" i="19"/>
  <c r="AC152" i="19"/>
  <c r="AA152" i="19"/>
  <c r="Z152" i="19"/>
  <c r="Y152" i="19"/>
  <c r="B152" i="19"/>
  <c r="AB152" i="19" s="1"/>
  <c r="A152" i="19"/>
  <c r="AF151" i="19"/>
  <c r="AB151" i="19"/>
  <c r="B151" i="19"/>
  <c r="A151" i="19"/>
  <c r="AF150" i="19"/>
  <c r="AE150" i="19"/>
  <c r="AD150" i="19"/>
  <c r="AC150" i="19"/>
  <c r="AB150" i="19"/>
  <c r="AA150" i="19"/>
  <c r="Z150" i="19"/>
  <c r="Y150" i="19"/>
  <c r="B150" i="19"/>
  <c r="A150" i="19"/>
  <c r="AF149" i="19"/>
  <c r="AC149" i="19"/>
  <c r="B149" i="19"/>
  <c r="A149" i="19"/>
  <c r="AE148" i="19"/>
  <c r="AD148" i="19"/>
  <c r="AC148" i="19"/>
  <c r="AA148" i="19"/>
  <c r="Z148" i="19"/>
  <c r="B148" i="19"/>
  <c r="Y148" i="19" s="1"/>
  <c r="A148" i="19"/>
  <c r="B147" i="19"/>
  <c r="A147" i="19"/>
  <c r="AF146" i="19"/>
  <c r="AE146" i="19"/>
  <c r="AD146" i="19"/>
  <c r="AC146" i="19"/>
  <c r="AA146" i="19"/>
  <c r="Z146" i="19"/>
  <c r="Y146" i="19"/>
  <c r="B146" i="19"/>
  <c r="AB146" i="19" s="1"/>
  <c r="A146" i="19"/>
  <c r="AB145" i="19"/>
  <c r="AA145" i="19"/>
  <c r="Y145" i="19"/>
  <c r="B145" i="19"/>
  <c r="A145" i="19"/>
  <c r="AE144" i="19"/>
  <c r="AD144" i="19"/>
  <c r="AC144" i="19"/>
  <c r="AB144" i="19"/>
  <c r="AA144" i="19"/>
  <c r="Z144" i="19"/>
  <c r="Y144" i="19"/>
  <c r="Z138" i="19"/>
  <c r="X138" i="19"/>
  <c r="W138" i="19"/>
  <c r="V138" i="19"/>
  <c r="U138" i="19"/>
  <c r="T138" i="19"/>
  <c r="S138" i="19"/>
  <c r="B138" i="19"/>
  <c r="Y138" i="19" s="1"/>
  <c r="A138" i="19"/>
  <c r="B137" i="19"/>
  <c r="A137" i="19"/>
  <c r="W136" i="19"/>
  <c r="V136" i="19"/>
  <c r="T136" i="19"/>
  <c r="S136" i="19"/>
  <c r="B136" i="19"/>
  <c r="A136" i="19"/>
  <c r="U135" i="19"/>
  <c r="T135" i="19"/>
  <c r="B135" i="19"/>
  <c r="A135" i="19"/>
  <c r="Z134" i="19"/>
  <c r="X134" i="19"/>
  <c r="W134" i="19"/>
  <c r="S134" i="19"/>
  <c r="B134" i="19"/>
  <c r="A134" i="19"/>
  <c r="Z133" i="19"/>
  <c r="Y133" i="19"/>
  <c r="X133" i="19"/>
  <c r="V133" i="19"/>
  <c r="U133" i="19"/>
  <c r="S133" i="19"/>
  <c r="B133" i="19"/>
  <c r="T133" i="19" s="1"/>
  <c r="A133" i="19"/>
  <c r="Z132" i="19"/>
  <c r="X132" i="19"/>
  <c r="W132" i="19"/>
  <c r="V132" i="19"/>
  <c r="U132" i="19"/>
  <c r="T132" i="19"/>
  <c r="S132" i="19"/>
  <c r="B132" i="19"/>
  <c r="Y132" i="19" s="1"/>
  <c r="A132" i="19"/>
  <c r="Y131" i="19"/>
  <c r="X131" i="19"/>
  <c r="V131" i="19"/>
  <c r="U131" i="19"/>
  <c r="T131" i="19"/>
  <c r="B131" i="19"/>
  <c r="A131" i="19"/>
  <c r="V130" i="19"/>
  <c r="T130" i="19"/>
  <c r="S130" i="19"/>
  <c r="B130" i="19"/>
  <c r="A130" i="19"/>
  <c r="Z129" i="19"/>
  <c r="W129" i="19"/>
  <c r="B129" i="19"/>
  <c r="A129" i="19"/>
  <c r="Z128" i="19"/>
  <c r="X128" i="19"/>
  <c r="W128" i="19"/>
  <c r="B128" i="19"/>
  <c r="A128" i="19"/>
  <c r="Z127" i="19"/>
  <c r="Y127" i="19"/>
  <c r="X127" i="19"/>
  <c r="V127" i="19"/>
  <c r="U127" i="19"/>
  <c r="S127" i="19"/>
  <c r="B127" i="19"/>
  <c r="T127" i="19" s="1"/>
  <c r="A127" i="19"/>
  <c r="Z126" i="19"/>
  <c r="X126" i="19"/>
  <c r="W126" i="19"/>
  <c r="V126" i="19"/>
  <c r="U126" i="19"/>
  <c r="T126" i="19"/>
  <c r="S126" i="19"/>
  <c r="B126" i="19"/>
  <c r="Y126" i="19" s="1"/>
  <c r="A126" i="19"/>
  <c r="Y125" i="19"/>
  <c r="X125" i="19"/>
  <c r="V125" i="19"/>
  <c r="T125" i="19"/>
  <c r="B125" i="19"/>
  <c r="A125" i="19"/>
  <c r="B124" i="19"/>
  <c r="A124" i="19"/>
  <c r="Z123" i="19"/>
  <c r="W123" i="19"/>
  <c r="U123" i="19"/>
  <c r="B123" i="19"/>
  <c r="Y123" i="19" s="1"/>
  <c r="A123" i="19"/>
  <c r="U122" i="19"/>
  <c r="S122" i="19"/>
  <c r="B122" i="19"/>
  <c r="A122" i="19"/>
  <c r="Z121" i="19"/>
  <c r="Y121" i="19"/>
  <c r="X121" i="19"/>
  <c r="V121" i="19"/>
  <c r="U121" i="19"/>
  <c r="S121" i="19"/>
  <c r="B121" i="19"/>
  <c r="T121" i="19" s="1"/>
  <c r="A121" i="19"/>
  <c r="Z120" i="19"/>
  <c r="X120" i="19"/>
  <c r="W120" i="19"/>
  <c r="V120" i="19"/>
  <c r="U120" i="19"/>
  <c r="T120" i="19"/>
  <c r="S120" i="19"/>
  <c r="B120" i="19"/>
  <c r="Y120" i="19" s="1"/>
  <c r="A120" i="19"/>
  <c r="U119" i="19"/>
  <c r="T119" i="19"/>
  <c r="B119" i="19"/>
  <c r="A119" i="19"/>
  <c r="Y118" i="19"/>
  <c r="W118" i="19"/>
  <c r="T118" i="19"/>
  <c r="B118" i="19"/>
  <c r="A118" i="19"/>
  <c r="Y117" i="19"/>
  <c r="W117" i="19"/>
  <c r="B117" i="19"/>
  <c r="A117" i="19"/>
  <c r="X116" i="19"/>
  <c r="S116" i="19"/>
  <c r="B116" i="19"/>
  <c r="A116" i="19"/>
  <c r="Z115" i="19"/>
  <c r="Y115" i="19"/>
  <c r="X115" i="19"/>
  <c r="V115" i="19"/>
  <c r="U115" i="19"/>
  <c r="S115" i="19"/>
  <c r="B115" i="19"/>
  <c r="T115" i="19" s="1"/>
  <c r="A115" i="19"/>
  <c r="Z114" i="19"/>
  <c r="X114" i="19"/>
  <c r="W114" i="19"/>
  <c r="V114" i="19"/>
  <c r="U114" i="19"/>
  <c r="T114" i="19"/>
  <c r="S114" i="19"/>
  <c r="B114" i="19"/>
  <c r="Y114" i="19" s="1"/>
  <c r="A114" i="19"/>
  <c r="X113" i="19"/>
  <c r="T113" i="19"/>
  <c r="B113" i="19"/>
  <c r="A113" i="19"/>
  <c r="Y112" i="19"/>
  <c r="W112" i="19"/>
  <c r="V112" i="19"/>
  <c r="T112" i="19"/>
  <c r="S112" i="19"/>
  <c r="B112" i="19"/>
  <c r="A112" i="19"/>
  <c r="T111" i="19"/>
  <c r="B111" i="19"/>
  <c r="A111" i="19"/>
  <c r="Z110" i="19"/>
  <c r="X110" i="19"/>
  <c r="W110" i="19"/>
  <c r="U110" i="19"/>
  <c r="S110" i="19"/>
  <c r="B110" i="19"/>
  <c r="A110" i="19"/>
  <c r="Z109" i="19"/>
  <c r="Y109" i="19"/>
  <c r="X109" i="19"/>
  <c r="V109" i="19"/>
  <c r="U109" i="19"/>
  <c r="S109" i="19"/>
  <c r="B109" i="19"/>
  <c r="T109" i="19" s="1"/>
  <c r="A109" i="19"/>
  <c r="Z108" i="19"/>
  <c r="X108" i="19"/>
  <c r="W108" i="19"/>
  <c r="V108" i="19"/>
  <c r="U108" i="19"/>
  <c r="T108" i="19"/>
  <c r="S108" i="19"/>
  <c r="B108" i="19"/>
  <c r="Y108" i="19" s="1"/>
  <c r="A108" i="19"/>
  <c r="Y107" i="19"/>
  <c r="X107" i="19"/>
  <c r="V107" i="19"/>
  <c r="U107" i="19"/>
  <c r="T107" i="19"/>
  <c r="B107" i="19"/>
  <c r="A107" i="19"/>
  <c r="V106" i="19"/>
  <c r="T106" i="19"/>
  <c r="S106" i="19"/>
  <c r="B106" i="19"/>
  <c r="A106" i="19"/>
  <c r="Z105" i="19"/>
  <c r="W105" i="19"/>
  <c r="B105" i="19"/>
  <c r="A105" i="19"/>
  <c r="S104" i="19"/>
  <c r="B104" i="19"/>
  <c r="A104" i="19"/>
  <c r="Z103" i="19"/>
  <c r="Y103" i="19"/>
  <c r="X103" i="19"/>
  <c r="V103" i="19"/>
  <c r="U103" i="19"/>
  <c r="S103" i="19"/>
  <c r="B103" i="19"/>
  <c r="T103" i="19" s="1"/>
  <c r="A103" i="19"/>
  <c r="Z102" i="19"/>
  <c r="X102" i="19"/>
  <c r="W102" i="19"/>
  <c r="V102" i="19"/>
  <c r="U102" i="19"/>
  <c r="T102" i="19"/>
  <c r="S102" i="19"/>
  <c r="B102" i="19"/>
  <c r="Y102" i="19" s="1"/>
  <c r="A102" i="19"/>
  <c r="B101" i="19"/>
  <c r="A101" i="19"/>
  <c r="B100" i="19"/>
  <c r="A100" i="19"/>
  <c r="Z99" i="19"/>
  <c r="W99" i="19"/>
  <c r="U99" i="19"/>
  <c r="B99" i="19"/>
  <c r="Y99" i="19" s="1"/>
  <c r="A99" i="19"/>
  <c r="Y98" i="19"/>
  <c r="X98" i="19"/>
  <c r="W98" i="19"/>
  <c r="V98" i="19"/>
  <c r="U98" i="19"/>
  <c r="T98" i="19"/>
  <c r="S98" i="19"/>
  <c r="AF92" i="19"/>
  <c r="AE92" i="19"/>
  <c r="AB92" i="19"/>
  <c r="B92" i="19"/>
  <c r="A92" i="19"/>
  <c r="AF91" i="19"/>
  <c r="AE91" i="19"/>
  <c r="AD91" i="19"/>
  <c r="AC91" i="19"/>
  <c r="AA91" i="19"/>
  <c r="Z91" i="19"/>
  <c r="Y91" i="19"/>
  <c r="B91" i="19"/>
  <c r="AB91" i="19" s="1"/>
  <c r="A91" i="19"/>
  <c r="Y90" i="19"/>
  <c r="B90" i="19"/>
  <c r="A90" i="19"/>
  <c r="AF89" i="19"/>
  <c r="AE89" i="19"/>
  <c r="AD89" i="19"/>
  <c r="AC89" i="19"/>
  <c r="AB89" i="19"/>
  <c r="AA89" i="19"/>
  <c r="Z89" i="19"/>
  <c r="Y89" i="19"/>
  <c r="B89" i="19"/>
  <c r="A89" i="19"/>
  <c r="AF88" i="19"/>
  <c r="AC88" i="19"/>
  <c r="AB88" i="19"/>
  <c r="B88" i="19"/>
  <c r="AE88" i="19" s="1"/>
  <c r="A88" i="19"/>
  <c r="AA87" i="19"/>
  <c r="Z87" i="19"/>
  <c r="B87" i="19"/>
  <c r="A87" i="19"/>
  <c r="AF86" i="19"/>
  <c r="AE86" i="19"/>
  <c r="AB86" i="19"/>
  <c r="B86" i="19"/>
  <c r="A86" i="19"/>
  <c r="AF85" i="19"/>
  <c r="AE85" i="19"/>
  <c r="AD85" i="19"/>
  <c r="AC85" i="19"/>
  <c r="AA85" i="19"/>
  <c r="Z85" i="19"/>
  <c r="Y85" i="19"/>
  <c r="B85" i="19"/>
  <c r="AB85" i="19" s="1"/>
  <c r="A85" i="19"/>
  <c r="AA84" i="19"/>
  <c r="Y84" i="19"/>
  <c r="B84" i="19"/>
  <c r="A84" i="19"/>
  <c r="AF83" i="19"/>
  <c r="AE83" i="19"/>
  <c r="AD83" i="19"/>
  <c r="AC83" i="19"/>
  <c r="AB83" i="19"/>
  <c r="AA83" i="19"/>
  <c r="Z83" i="19"/>
  <c r="Y83" i="19"/>
  <c r="B83" i="19"/>
  <c r="A83" i="19"/>
  <c r="AF82" i="19"/>
  <c r="AC82" i="19"/>
  <c r="AB82" i="19"/>
  <c r="B82" i="19"/>
  <c r="AE82" i="19" s="1"/>
  <c r="A82" i="19"/>
  <c r="B81" i="19"/>
  <c r="A81" i="19"/>
  <c r="AF80" i="19"/>
  <c r="AE80" i="19"/>
  <c r="AB80" i="19"/>
  <c r="B80" i="19"/>
  <c r="A80" i="19"/>
  <c r="AF79" i="19"/>
  <c r="AE79" i="19"/>
  <c r="AD79" i="19"/>
  <c r="AC79" i="19"/>
  <c r="AA79" i="19"/>
  <c r="Z79" i="19"/>
  <c r="Y79" i="19"/>
  <c r="B79" i="19"/>
  <c r="AB79" i="19" s="1"/>
  <c r="A79" i="19"/>
  <c r="AA78" i="19"/>
  <c r="Y78" i="19"/>
  <c r="B78" i="19"/>
  <c r="A78" i="19"/>
  <c r="AF77" i="19"/>
  <c r="AE77" i="19"/>
  <c r="AD77" i="19"/>
  <c r="AC77" i="19"/>
  <c r="AB77" i="19"/>
  <c r="AA77" i="19"/>
  <c r="Z77" i="19"/>
  <c r="Y77" i="19"/>
  <c r="B77" i="19"/>
  <c r="A77" i="19"/>
  <c r="AF76" i="19"/>
  <c r="AC76" i="19"/>
  <c r="AB76" i="19"/>
  <c r="B76" i="19"/>
  <c r="AE76" i="19" s="1"/>
  <c r="A76" i="19"/>
  <c r="B75" i="19"/>
  <c r="A75" i="19"/>
  <c r="AF74" i="19"/>
  <c r="AE74" i="19"/>
  <c r="AB74" i="19"/>
  <c r="B74" i="19"/>
  <c r="A74" i="19"/>
  <c r="AF73" i="19"/>
  <c r="AE73" i="19"/>
  <c r="AD73" i="19"/>
  <c r="AC73" i="19"/>
  <c r="AA73" i="19"/>
  <c r="Z73" i="19"/>
  <c r="Y73" i="19"/>
  <c r="B73" i="19"/>
  <c r="AB73" i="19" s="1"/>
  <c r="A73" i="19"/>
  <c r="AA72" i="19"/>
  <c r="B72" i="19"/>
  <c r="A72" i="19"/>
  <c r="AF71" i="19"/>
  <c r="AE71" i="19"/>
  <c r="AD71" i="19"/>
  <c r="AC71" i="19"/>
  <c r="AB71" i="19"/>
  <c r="AA71" i="19"/>
  <c r="Z71" i="19"/>
  <c r="Y71" i="19"/>
  <c r="B71" i="19"/>
  <c r="A71" i="19"/>
  <c r="AF70" i="19"/>
  <c r="AC70" i="19"/>
  <c r="AB70" i="19"/>
  <c r="B70" i="19"/>
  <c r="AE70" i="19" s="1"/>
  <c r="A70" i="19"/>
  <c r="AA69" i="19"/>
  <c r="Z69" i="19"/>
  <c r="B69" i="19"/>
  <c r="A69" i="19"/>
  <c r="AF68" i="19"/>
  <c r="AE68" i="19"/>
  <c r="AB68" i="19"/>
  <c r="B68" i="19"/>
  <c r="A68" i="19"/>
  <c r="AF67" i="19"/>
  <c r="AE67" i="19"/>
  <c r="AD67" i="19"/>
  <c r="AC67" i="19"/>
  <c r="AA67" i="19"/>
  <c r="Z67" i="19"/>
  <c r="Y67" i="19"/>
  <c r="B67" i="19"/>
  <c r="AB67" i="19" s="1"/>
  <c r="A67" i="19"/>
  <c r="B66" i="19"/>
  <c r="A66" i="19"/>
  <c r="AF65" i="19"/>
  <c r="AE65" i="19"/>
  <c r="AD65" i="19"/>
  <c r="AC65" i="19"/>
  <c r="AB65" i="19"/>
  <c r="AA65" i="19"/>
  <c r="Z65" i="19"/>
  <c r="Y65" i="19"/>
  <c r="B65" i="19"/>
  <c r="A65" i="19"/>
  <c r="AF64" i="19"/>
  <c r="AC64" i="19"/>
  <c r="AB64" i="19"/>
  <c r="B64" i="19"/>
  <c r="AE64" i="19" s="1"/>
  <c r="A64" i="19"/>
  <c r="AA63" i="19"/>
  <c r="B63" i="19"/>
  <c r="A63" i="19"/>
  <c r="AF62" i="19"/>
  <c r="AE62" i="19"/>
  <c r="AB62" i="19"/>
  <c r="B62" i="19"/>
  <c r="A62" i="19"/>
  <c r="AF61" i="19"/>
  <c r="AE61" i="19"/>
  <c r="AD61" i="19"/>
  <c r="AC61" i="19"/>
  <c r="AA61" i="19"/>
  <c r="Z61" i="19"/>
  <c r="Y61" i="19"/>
  <c r="B61" i="19"/>
  <c r="AB61" i="19" s="1"/>
  <c r="A61" i="19"/>
  <c r="Y60" i="19"/>
  <c r="B60" i="19"/>
  <c r="A60" i="19"/>
  <c r="AF59" i="19"/>
  <c r="AE59" i="19"/>
  <c r="AD59" i="19"/>
  <c r="AC59" i="19"/>
  <c r="AB59" i="19"/>
  <c r="AA59" i="19"/>
  <c r="Z59" i="19"/>
  <c r="Y59" i="19"/>
  <c r="B59" i="19"/>
  <c r="A59" i="19"/>
  <c r="AF58" i="19"/>
  <c r="AC58" i="19"/>
  <c r="AB58" i="19"/>
  <c r="B58" i="19"/>
  <c r="AE58" i="19" s="1"/>
  <c r="A58" i="19"/>
  <c r="Z57" i="19"/>
  <c r="B57" i="19"/>
  <c r="A57" i="19"/>
  <c r="AF56" i="19"/>
  <c r="AE56" i="19"/>
  <c r="AB56" i="19"/>
  <c r="B56" i="19"/>
  <c r="A56" i="19"/>
  <c r="AF55" i="19"/>
  <c r="AE55" i="19"/>
  <c r="AD55" i="19"/>
  <c r="AC55" i="19"/>
  <c r="AA55" i="19"/>
  <c r="Z55" i="19"/>
  <c r="Y55" i="19"/>
  <c r="B55" i="19"/>
  <c r="AB55" i="19" s="1"/>
  <c r="A55" i="19"/>
  <c r="AB54" i="19"/>
  <c r="AA54" i="19"/>
  <c r="Y54" i="19"/>
  <c r="B54" i="19"/>
  <c r="A54" i="19"/>
  <c r="AF53" i="19"/>
  <c r="AE53" i="19"/>
  <c r="AD53" i="19"/>
  <c r="AC53" i="19"/>
  <c r="AB53" i="19"/>
  <c r="AA53" i="19"/>
  <c r="Z53" i="19"/>
  <c r="Y53" i="19"/>
  <c r="B53" i="19"/>
  <c r="A53" i="19"/>
  <c r="AE52" i="19"/>
  <c r="AD52" i="19"/>
  <c r="AC52" i="19"/>
  <c r="AB52" i="19"/>
  <c r="AA52" i="19"/>
  <c r="Z52" i="19"/>
  <c r="Y52" i="19"/>
  <c r="J17" i="19"/>
  <c r="I17" i="19"/>
  <c r="H17" i="19"/>
  <c r="G17" i="19"/>
  <c r="K17" i="19" s="1"/>
  <c r="F17" i="19"/>
  <c r="K16" i="19"/>
  <c r="J16" i="19"/>
  <c r="I16" i="19"/>
  <c r="H16" i="19"/>
  <c r="G16" i="19"/>
  <c r="F16" i="19"/>
  <c r="J15" i="19"/>
  <c r="I15" i="19"/>
  <c r="H15" i="19"/>
  <c r="G15" i="19"/>
  <c r="K15" i="19" s="1"/>
  <c r="F15" i="19"/>
  <c r="K14" i="19"/>
  <c r="J14" i="19"/>
  <c r="I14" i="19"/>
  <c r="H14" i="19"/>
  <c r="G14" i="19"/>
  <c r="F14" i="19"/>
  <c r="J13" i="19"/>
  <c r="I13" i="19"/>
  <c r="H13" i="19"/>
  <c r="G13" i="19"/>
  <c r="F13" i="19"/>
  <c r="K12" i="19"/>
  <c r="J12" i="19"/>
  <c r="I12" i="19"/>
  <c r="H12" i="19"/>
  <c r="G12" i="19"/>
  <c r="F12" i="19"/>
  <c r="J11" i="19"/>
  <c r="I11" i="19"/>
  <c r="H11" i="19"/>
  <c r="G11" i="19"/>
  <c r="F11" i="19"/>
  <c r="E7" i="19"/>
  <c r="D7" i="19"/>
  <c r="C7" i="19"/>
  <c r="B7" i="19"/>
  <c r="A7" i="19"/>
  <c r="A5" i="19"/>
  <c r="J2" i="19"/>
  <c r="H2" i="19"/>
  <c r="F2" i="19"/>
  <c r="D2" i="19"/>
  <c r="B2" i="19"/>
  <c r="A1" i="19"/>
  <c r="W230" i="18"/>
  <c r="V230" i="18"/>
  <c r="U230" i="18"/>
  <c r="T230" i="18"/>
  <c r="R230" i="18"/>
  <c r="Q230" i="18"/>
  <c r="P230" i="18"/>
  <c r="B230" i="18"/>
  <c r="S230" i="18" s="1"/>
  <c r="A230" i="18"/>
  <c r="W229" i="18"/>
  <c r="T229" i="18"/>
  <c r="P229" i="18"/>
  <c r="B229" i="18"/>
  <c r="A229" i="18"/>
  <c r="W228" i="18"/>
  <c r="V228" i="18"/>
  <c r="U228" i="18"/>
  <c r="T228" i="18"/>
  <c r="S228" i="18"/>
  <c r="R228" i="18"/>
  <c r="Q228" i="18"/>
  <c r="P228" i="18"/>
  <c r="B228" i="18"/>
  <c r="A228" i="18"/>
  <c r="W227" i="18"/>
  <c r="V227" i="18"/>
  <c r="U227" i="18"/>
  <c r="T227" i="18"/>
  <c r="S227" i="18"/>
  <c r="Q227" i="18"/>
  <c r="P227" i="18"/>
  <c r="B227" i="18"/>
  <c r="R227" i="18" s="1"/>
  <c r="A227" i="18"/>
  <c r="B226" i="18"/>
  <c r="A226" i="18"/>
  <c r="W225" i="18"/>
  <c r="V225" i="18"/>
  <c r="S225" i="18"/>
  <c r="P225" i="18"/>
  <c r="B225" i="18"/>
  <c r="U225" i="18" s="1"/>
  <c r="A225" i="18"/>
  <c r="W224" i="18"/>
  <c r="V224" i="18"/>
  <c r="U224" i="18"/>
  <c r="T224" i="18"/>
  <c r="R224" i="18"/>
  <c r="Q224" i="18"/>
  <c r="P224" i="18"/>
  <c r="B224" i="18"/>
  <c r="S224" i="18" s="1"/>
  <c r="A224" i="18"/>
  <c r="T223" i="18"/>
  <c r="R223" i="18"/>
  <c r="B223" i="18"/>
  <c r="A223" i="18"/>
  <c r="W222" i="18"/>
  <c r="V222" i="18"/>
  <c r="U222" i="18"/>
  <c r="T222" i="18"/>
  <c r="S222" i="18"/>
  <c r="R222" i="18"/>
  <c r="Q222" i="18"/>
  <c r="P222" i="18"/>
  <c r="B222" i="18"/>
  <c r="A222" i="18"/>
  <c r="W221" i="18"/>
  <c r="V221" i="18"/>
  <c r="T221" i="18"/>
  <c r="P221" i="18"/>
  <c r="B221" i="18"/>
  <c r="R221" i="18" s="1"/>
  <c r="A221" i="18"/>
  <c r="V220" i="18"/>
  <c r="U220" i="18"/>
  <c r="S220" i="18"/>
  <c r="R220" i="18"/>
  <c r="B220" i="18"/>
  <c r="T220" i="18" s="1"/>
  <c r="A220" i="18"/>
  <c r="S219" i="18"/>
  <c r="R219" i="18"/>
  <c r="B219" i="18"/>
  <c r="A219" i="18"/>
  <c r="B218" i="18"/>
  <c r="A218" i="18"/>
  <c r="W217" i="18"/>
  <c r="U217" i="18"/>
  <c r="T217" i="18"/>
  <c r="R217" i="18"/>
  <c r="B217" i="18"/>
  <c r="A217" i="18"/>
  <c r="W216" i="18"/>
  <c r="V216" i="18"/>
  <c r="U216" i="18"/>
  <c r="T216" i="18"/>
  <c r="S216" i="18"/>
  <c r="R216" i="18"/>
  <c r="Q216" i="18"/>
  <c r="P216" i="18"/>
  <c r="B216" i="18"/>
  <c r="A216" i="18"/>
  <c r="T215" i="18"/>
  <c r="S215" i="18"/>
  <c r="B215" i="18"/>
  <c r="A215" i="18"/>
  <c r="B214" i="18"/>
  <c r="A214" i="18"/>
  <c r="W213" i="18"/>
  <c r="V213" i="18"/>
  <c r="T213" i="18"/>
  <c r="S213" i="18"/>
  <c r="Q213" i="18"/>
  <c r="B213" i="18"/>
  <c r="U213" i="18" s="1"/>
  <c r="A213" i="18"/>
  <c r="W212" i="18"/>
  <c r="V212" i="18"/>
  <c r="U212" i="18"/>
  <c r="T212" i="18"/>
  <c r="R212" i="18"/>
  <c r="Q212" i="18"/>
  <c r="P212" i="18"/>
  <c r="B212" i="18"/>
  <c r="S212" i="18" s="1"/>
  <c r="A212" i="18"/>
  <c r="R211" i="18"/>
  <c r="P211" i="18"/>
  <c r="B211" i="18"/>
  <c r="A211" i="18"/>
  <c r="W210" i="18"/>
  <c r="V210" i="18"/>
  <c r="U210" i="18"/>
  <c r="T210" i="18"/>
  <c r="S210" i="18"/>
  <c r="R210" i="18"/>
  <c r="Q210" i="18"/>
  <c r="P210" i="18"/>
  <c r="B210" i="18"/>
  <c r="A210" i="18"/>
  <c r="W209" i="18"/>
  <c r="V209" i="18"/>
  <c r="U209" i="18"/>
  <c r="T209" i="18"/>
  <c r="Q209" i="18"/>
  <c r="B209" i="18"/>
  <c r="R209" i="18" s="1"/>
  <c r="A209" i="18"/>
  <c r="U208" i="18"/>
  <c r="T208" i="18"/>
  <c r="Q208" i="18"/>
  <c r="B208" i="18"/>
  <c r="A208" i="18"/>
  <c r="B207" i="18"/>
  <c r="A207" i="18"/>
  <c r="W206" i="18"/>
  <c r="V206" i="18"/>
  <c r="T206" i="18"/>
  <c r="P206" i="18"/>
  <c r="B206" i="18"/>
  <c r="S206" i="18" s="1"/>
  <c r="A206" i="18"/>
  <c r="W205" i="18"/>
  <c r="U205" i="18"/>
  <c r="S205" i="18"/>
  <c r="R205" i="18"/>
  <c r="B205" i="18"/>
  <c r="T205" i="18" s="1"/>
  <c r="A205" i="18"/>
  <c r="W204" i="18"/>
  <c r="V204" i="18"/>
  <c r="U204" i="18"/>
  <c r="T204" i="18"/>
  <c r="S204" i="18"/>
  <c r="R204" i="18"/>
  <c r="Q204" i="18"/>
  <c r="P204" i="18"/>
  <c r="B204" i="18"/>
  <c r="A204" i="18"/>
  <c r="B203" i="18"/>
  <c r="A203" i="18"/>
  <c r="V202" i="18"/>
  <c r="U202" i="18"/>
  <c r="S202" i="18"/>
  <c r="B202" i="18"/>
  <c r="A202" i="18"/>
  <c r="W201" i="18"/>
  <c r="V201" i="18"/>
  <c r="T201" i="18"/>
  <c r="R201" i="18"/>
  <c r="Q201" i="18"/>
  <c r="B201" i="18"/>
  <c r="U201" i="18" s="1"/>
  <c r="A201" i="18"/>
  <c r="T200" i="18"/>
  <c r="R200" i="18"/>
  <c r="B200" i="18"/>
  <c r="A200" i="18"/>
  <c r="B199" i="18"/>
  <c r="A199" i="18"/>
  <c r="W198" i="18"/>
  <c r="V198" i="18"/>
  <c r="U198" i="18"/>
  <c r="S198" i="18"/>
  <c r="R198" i="18"/>
  <c r="Q198" i="18"/>
  <c r="P198" i="18"/>
  <c r="B198" i="18"/>
  <c r="T198" i="18" s="1"/>
  <c r="A198" i="18"/>
  <c r="W197" i="18"/>
  <c r="V197" i="18"/>
  <c r="U197" i="18"/>
  <c r="T197" i="18"/>
  <c r="S197" i="18"/>
  <c r="Q197" i="18"/>
  <c r="P197" i="18"/>
  <c r="B197" i="18"/>
  <c r="R197" i="18" s="1"/>
  <c r="A197" i="18"/>
  <c r="R196" i="18"/>
  <c r="B196" i="18"/>
  <c r="A196" i="18"/>
  <c r="W195" i="18"/>
  <c r="V195" i="18"/>
  <c r="S195" i="18"/>
  <c r="P195" i="18"/>
  <c r="B195" i="18"/>
  <c r="U195" i="18" s="1"/>
  <c r="A195" i="18"/>
  <c r="W194" i="18"/>
  <c r="V194" i="18"/>
  <c r="U194" i="18"/>
  <c r="T194" i="18"/>
  <c r="R194" i="18"/>
  <c r="Q194" i="18"/>
  <c r="P194" i="18"/>
  <c r="B194" i="18"/>
  <c r="S194" i="18" s="1"/>
  <c r="A194" i="18"/>
  <c r="T193" i="18"/>
  <c r="S193" i="18"/>
  <c r="R193" i="18"/>
  <c r="B193" i="18"/>
  <c r="A193" i="18"/>
  <c r="W192" i="18"/>
  <c r="V192" i="18"/>
  <c r="U192" i="18"/>
  <c r="S192" i="18"/>
  <c r="R192" i="18"/>
  <c r="Q192" i="18"/>
  <c r="P192" i="18"/>
  <c r="B192" i="18"/>
  <c r="T192" i="18" s="1"/>
  <c r="A192" i="18"/>
  <c r="W191" i="18"/>
  <c r="V191" i="18"/>
  <c r="U191" i="18"/>
  <c r="S191" i="18"/>
  <c r="B191" i="18"/>
  <c r="R191" i="18" s="1"/>
  <c r="A191" i="18"/>
  <c r="V190" i="18"/>
  <c r="U190" i="18"/>
  <c r="T190" i="18"/>
  <c r="S190" i="18"/>
  <c r="R190" i="18"/>
  <c r="Q190" i="18"/>
  <c r="P190" i="18"/>
  <c r="B184" i="18"/>
  <c r="A184" i="18"/>
  <c r="AF183" i="18"/>
  <c r="AE183" i="18"/>
  <c r="AC183" i="18"/>
  <c r="AA183" i="18"/>
  <c r="B183" i="18"/>
  <c r="A183" i="18"/>
  <c r="AF182" i="18"/>
  <c r="AE182" i="18"/>
  <c r="AD182" i="18"/>
  <c r="AC182" i="18"/>
  <c r="AA182" i="18"/>
  <c r="Z182" i="18"/>
  <c r="Y182" i="18"/>
  <c r="B182" i="18"/>
  <c r="AB182" i="18" s="1"/>
  <c r="A182" i="18"/>
  <c r="AB181" i="18"/>
  <c r="AA181" i="18"/>
  <c r="Y181" i="18"/>
  <c r="B181" i="18"/>
  <c r="Z181" i="18" s="1"/>
  <c r="A181" i="18"/>
  <c r="AF180" i="18"/>
  <c r="AD180" i="18"/>
  <c r="AC180" i="18"/>
  <c r="AB180" i="18"/>
  <c r="AA180" i="18"/>
  <c r="Z180" i="18"/>
  <c r="Y180" i="18"/>
  <c r="B180" i="18"/>
  <c r="AE180" i="18" s="1"/>
  <c r="A180" i="18"/>
  <c r="AF179" i="18"/>
  <c r="AE179" i="18"/>
  <c r="AD179" i="18"/>
  <c r="AB179" i="18"/>
  <c r="Z179" i="18"/>
  <c r="B179" i="18"/>
  <c r="AC179" i="18" s="1"/>
  <c r="A179" i="18"/>
  <c r="AD178" i="18"/>
  <c r="AC178" i="18"/>
  <c r="AB178" i="18"/>
  <c r="Y178" i="18"/>
  <c r="B178" i="18"/>
  <c r="A178" i="18"/>
  <c r="Z177" i="18"/>
  <c r="B177" i="18"/>
  <c r="A177" i="18"/>
  <c r="AF176" i="18"/>
  <c r="AE176" i="18"/>
  <c r="AD176" i="18"/>
  <c r="AA176" i="18"/>
  <c r="B176" i="18"/>
  <c r="AB176" i="18" s="1"/>
  <c r="A176" i="18"/>
  <c r="AF175" i="18"/>
  <c r="AE175" i="18"/>
  <c r="AD175" i="18"/>
  <c r="AB175" i="18"/>
  <c r="AA175" i="18"/>
  <c r="B175" i="18"/>
  <c r="Z175" i="18" s="1"/>
  <c r="A175" i="18"/>
  <c r="AF174" i="18"/>
  <c r="AD174" i="18"/>
  <c r="AC174" i="18"/>
  <c r="AB174" i="18"/>
  <c r="AA174" i="18"/>
  <c r="Z174" i="18"/>
  <c r="Y174" i="18"/>
  <c r="B174" i="18"/>
  <c r="AE174" i="18" s="1"/>
  <c r="A174" i="18"/>
  <c r="B173" i="18"/>
  <c r="A173" i="18"/>
  <c r="AE172" i="18"/>
  <c r="AD172" i="18"/>
  <c r="AC172" i="18"/>
  <c r="Z172" i="18"/>
  <c r="B172" i="18"/>
  <c r="A172" i="18"/>
  <c r="B171" i="18"/>
  <c r="A171" i="18"/>
  <c r="Z170" i="18"/>
  <c r="Y170" i="18"/>
  <c r="B170" i="18"/>
  <c r="A170" i="18"/>
  <c r="AF169" i="18"/>
  <c r="AE169" i="18"/>
  <c r="AC169" i="18"/>
  <c r="Y169" i="18"/>
  <c r="B169" i="18"/>
  <c r="Z169" i="18" s="1"/>
  <c r="A169" i="18"/>
  <c r="AF168" i="18"/>
  <c r="AE168" i="18"/>
  <c r="AD168" i="18"/>
  <c r="AC168" i="18"/>
  <c r="AB168" i="18"/>
  <c r="AA168" i="18"/>
  <c r="Z168" i="18"/>
  <c r="Y168" i="18"/>
  <c r="B168" i="18"/>
  <c r="A168" i="18"/>
  <c r="AF167" i="18"/>
  <c r="AE167" i="18"/>
  <c r="AD167" i="18"/>
  <c r="AB167" i="18"/>
  <c r="AA167" i="18"/>
  <c r="Z167" i="18"/>
  <c r="Y167" i="18"/>
  <c r="B167" i="18"/>
  <c r="AC167" i="18" s="1"/>
  <c r="A167" i="18"/>
  <c r="Z166" i="18"/>
  <c r="B166" i="18"/>
  <c r="A166" i="18"/>
  <c r="AF165" i="18"/>
  <c r="AE165" i="18"/>
  <c r="AB165" i="18"/>
  <c r="B165" i="18"/>
  <c r="A165" i="18"/>
  <c r="AF164" i="18"/>
  <c r="AE164" i="18"/>
  <c r="AD164" i="18"/>
  <c r="AA164" i="18"/>
  <c r="Z164" i="18"/>
  <c r="B164" i="18"/>
  <c r="AB164" i="18" s="1"/>
  <c r="A164" i="18"/>
  <c r="B163" i="18"/>
  <c r="A163" i="18"/>
  <c r="AF162" i="18"/>
  <c r="AE162" i="18"/>
  <c r="AD162" i="18"/>
  <c r="AC162" i="18"/>
  <c r="AB162" i="18"/>
  <c r="AA162" i="18"/>
  <c r="Z162" i="18"/>
  <c r="Y162" i="18"/>
  <c r="B162" i="18"/>
  <c r="A162" i="18"/>
  <c r="AF161" i="18"/>
  <c r="AE161" i="18"/>
  <c r="AB161" i="18"/>
  <c r="Y161" i="18"/>
  <c r="B161" i="18"/>
  <c r="AC161" i="18" s="1"/>
  <c r="A161" i="18"/>
  <c r="AE160" i="18"/>
  <c r="AD160" i="18"/>
  <c r="AB160" i="18"/>
  <c r="Z160" i="18"/>
  <c r="B160" i="18"/>
  <c r="AC160" i="18" s="1"/>
  <c r="A160" i="18"/>
  <c r="AB159" i="18"/>
  <c r="AA159" i="18"/>
  <c r="Z159" i="18"/>
  <c r="B159" i="18"/>
  <c r="A159" i="18"/>
  <c r="AF158" i="18"/>
  <c r="B158" i="18"/>
  <c r="A158" i="18"/>
  <c r="AF157" i="18"/>
  <c r="AE157" i="18"/>
  <c r="AD157" i="18"/>
  <c r="AC157" i="18"/>
  <c r="AA157" i="18"/>
  <c r="B157" i="18"/>
  <c r="Z157" i="18" s="1"/>
  <c r="A157" i="18"/>
  <c r="AF156" i="18"/>
  <c r="AD156" i="18"/>
  <c r="AC156" i="18"/>
  <c r="AB156" i="18"/>
  <c r="AA156" i="18"/>
  <c r="Z156" i="18"/>
  <c r="Y156" i="18"/>
  <c r="B156" i="18"/>
  <c r="AE156" i="18" s="1"/>
  <c r="A156" i="18"/>
  <c r="AA155" i="18"/>
  <c r="Z155" i="18"/>
  <c r="Y155" i="18"/>
  <c r="B155" i="18"/>
  <c r="AC155" i="18" s="1"/>
  <c r="A155" i="18"/>
  <c r="AE154" i="18"/>
  <c r="AC154" i="18"/>
  <c r="Y154" i="18"/>
  <c r="B154" i="18"/>
  <c r="A154" i="18"/>
  <c r="AF153" i="18"/>
  <c r="AE153" i="18"/>
  <c r="AB153" i="18"/>
  <c r="AA153" i="18"/>
  <c r="B153" i="18"/>
  <c r="AC153" i="18" s="1"/>
  <c r="A153" i="18"/>
  <c r="AC152" i="18"/>
  <c r="AA152" i="18"/>
  <c r="B152" i="18"/>
  <c r="A152" i="18"/>
  <c r="B151" i="18"/>
  <c r="A151" i="18"/>
  <c r="AF150" i="18"/>
  <c r="AD150" i="18"/>
  <c r="AC150" i="18"/>
  <c r="AB150" i="18"/>
  <c r="AA150" i="18"/>
  <c r="Z150" i="18"/>
  <c r="Y150" i="18"/>
  <c r="B150" i="18"/>
  <c r="AE150" i="18" s="1"/>
  <c r="A150" i="18"/>
  <c r="AF149" i="18"/>
  <c r="AE149" i="18"/>
  <c r="AD149" i="18"/>
  <c r="AA149" i="18"/>
  <c r="Z149" i="18"/>
  <c r="B149" i="18"/>
  <c r="AC149" i="18" s="1"/>
  <c r="A149" i="18"/>
  <c r="AB148" i="18"/>
  <c r="Z148" i="18"/>
  <c r="Y148" i="18"/>
  <c r="B148" i="18"/>
  <c r="A148" i="18"/>
  <c r="AF147" i="18"/>
  <c r="AC147" i="18"/>
  <c r="Z147" i="18"/>
  <c r="B147" i="18"/>
  <c r="A147" i="18"/>
  <c r="AF146" i="18"/>
  <c r="AE146" i="18"/>
  <c r="AD146" i="18"/>
  <c r="AC146" i="18"/>
  <c r="AA146" i="18"/>
  <c r="Z146" i="18"/>
  <c r="Y146" i="18"/>
  <c r="B146" i="18"/>
  <c r="AB146" i="18" s="1"/>
  <c r="A146" i="18"/>
  <c r="AC145" i="18"/>
  <c r="AB145" i="18"/>
  <c r="B145" i="18"/>
  <c r="AD145" i="18" s="1"/>
  <c r="A145" i="18"/>
  <c r="AE144" i="18"/>
  <c r="AD144" i="18"/>
  <c r="AC144" i="18"/>
  <c r="AB144" i="18"/>
  <c r="AA144" i="18"/>
  <c r="Z144" i="18"/>
  <c r="Y144" i="18"/>
  <c r="Z138" i="18"/>
  <c r="X138" i="18"/>
  <c r="W138" i="18"/>
  <c r="V138" i="18"/>
  <c r="U138" i="18"/>
  <c r="S138" i="18"/>
  <c r="B138" i="18"/>
  <c r="A138" i="18"/>
  <c r="Z137" i="18"/>
  <c r="Y137" i="18"/>
  <c r="X137" i="18"/>
  <c r="W137" i="18"/>
  <c r="V137" i="18"/>
  <c r="U137" i="18"/>
  <c r="T137" i="18"/>
  <c r="S137" i="18"/>
  <c r="B137" i="18"/>
  <c r="A137" i="18"/>
  <c r="V136" i="18"/>
  <c r="T136" i="18"/>
  <c r="S136" i="18"/>
  <c r="B136" i="18"/>
  <c r="U136" i="18" s="1"/>
  <c r="A136" i="18"/>
  <c r="Y135" i="18"/>
  <c r="W135" i="18"/>
  <c r="T135" i="18"/>
  <c r="B135" i="18"/>
  <c r="A135" i="18"/>
  <c r="Z134" i="18"/>
  <c r="Y134" i="18"/>
  <c r="W134" i="18"/>
  <c r="V134" i="18"/>
  <c r="U134" i="18"/>
  <c r="S134" i="18"/>
  <c r="B134" i="18"/>
  <c r="X134" i="18" s="1"/>
  <c r="A134" i="18"/>
  <c r="X133" i="18"/>
  <c r="W133" i="18"/>
  <c r="S133" i="18"/>
  <c r="B133" i="18"/>
  <c r="A133" i="18"/>
  <c r="B132" i="18"/>
  <c r="A132" i="18"/>
  <c r="Z131" i="18"/>
  <c r="Y131" i="18"/>
  <c r="X131" i="18"/>
  <c r="W131" i="18"/>
  <c r="V131" i="18"/>
  <c r="U131" i="18"/>
  <c r="T131" i="18"/>
  <c r="S131" i="18"/>
  <c r="B131" i="18"/>
  <c r="A131" i="18"/>
  <c r="Z130" i="18"/>
  <c r="Y130" i="18"/>
  <c r="X130" i="18"/>
  <c r="W130" i="18"/>
  <c r="V130" i="18"/>
  <c r="S130" i="18"/>
  <c r="B130" i="18"/>
  <c r="U130" i="18" s="1"/>
  <c r="A130" i="18"/>
  <c r="W129" i="18"/>
  <c r="V129" i="18"/>
  <c r="U129" i="18"/>
  <c r="B129" i="18"/>
  <c r="A129" i="18"/>
  <c r="S128" i="18"/>
  <c r="B128" i="18"/>
  <c r="A128" i="18"/>
  <c r="Z127" i="18"/>
  <c r="Y127" i="18"/>
  <c r="X127" i="18"/>
  <c r="U127" i="18"/>
  <c r="B127" i="18"/>
  <c r="V127" i="18" s="1"/>
  <c r="A127" i="18"/>
  <c r="Z126" i="18"/>
  <c r="X126" i="18"/>
  <c r="W126" i="18"/>
  <c r="V126" i="18"/>
  <c r="U126" i="18"/>
  <c r="S126" i="18"/>
  <c r="B126" i="18"/>
  <c r="A126" i="18"/>
  <c r="Z125" i="18"/>
  <c r="Y125" i="18"/>
  <c r="X125" i="18"/>
  <c r="W125" i="18"/>
  <c r="V125" i="18"/>
  <c r="U125" i="18"/>
  <c r="T125" i="18"/>
  <c r="S125" i="18"/>
  <c r="B125" i="18"/>
  <c r="A125" i="18"/>
  <c r="B124" i="18"/>
  <c r="A124" i="18"/>
  <c r="Y123" i="18"/>
  <c r="X123" i="18"/>
  <c r="W123" i="18"/>
  <c r="U123" i="18"/>
  <c r="B123" i="18"/>
  <c r="A123" i="18"/>
  <c r="Z122" i="18"/>
  <c r="Y122" i="18"/>
  <c r="W122" i="18"/>
  <c r="V122" i="18"/>
  <c r="U122" i="18"/>
  <c r="T122" i="18"/>
  <c r="S122" i="18"/>
  <c r="B122" i="18"/>
  <c r="X122" i="18" s="1"/>
  <c r="A122" i="18"/>
  <c r="U121" i="18"/>
  <c r="T121" i="18"/>
  <c r="S121" i="18"/>
  <c r="B121" i="18"/>
  <c r="V121" i="18" s="1"/>
  <c r="A121" i="18"/>
  <c r="Z120" i="18"/>
  <c r="W120" i="18"/>
  <c r="S120" i="18"/>
  <c r="B120" i="18"/>
  <c r="A120" i="18"/>
  <c r="Z119" i="18"/>
  <c r="Y119" i="18"/>
  <c r="X119" i="18"/>
  <c r="W119" i="18"/>
  <c r="V119" i="18"/>
  <c r="U119" i="18"/>
  <c r="T119" i="18"/>
  <c r="S119" i="18"/>
  <c r="B119" i="18"/>
  <c r="A119" i="18"/>
  <c r="Z118" i="18"/>
  <c r="Y118" i="18"/>
  <c r="X118" i="18"/>
  <c r="W118" i="18"/>
  <c r="V118" i="18"/>
  <c r="T118" i="18"/>
  <c r="S118" i="18"/>
  <c r="B118" i="18"/>
  <c r="U118" i="18" s="1"/>
  <c r="A118" i="18"/>
  <c r="B117" i="18"/>
  <c r="A117" i="18"/>
  <c r="Z116" i="18"/>
  <c r="Y116" i="18"/>
  <c r="V116" i="18"/>
  <c r="S116" i="18"/>
  <c r="B116" i="18"/>
  <c r="X116" i="18" s="1"/>
  <c r="A116" i="18"/>
  <c r="Z115" i="18"/>
  <c r="Y115" i="18"/>
  <c r="X115" i="18"/>
  <c r="W115" i="18"/>
  <c r="U115" i="18"/>
  <c r="T115" i="18"/>
  <c r="S115" i="18"/>
  <c r="B115" i="18"/>
  <c r="V115" i="18" s="1"/>
  <c r="A115" i="18"/>
  <c r="B114" i="18"/>
  <c r="A114" i="18"/>
  <c r="Z113" i="18"/>
  <c r="Y113" i="18"/>
  <c r="X113" i="18"/>
  <c r="W113" i="18"/>
  <c r="V113" i="18"/>
  <c r="U113" i="18"/>
  <c r="T113" i="18"/>
  <c r="S113" i="18"/>
  <c r="B113" i="18"/>
  <c r="A113" i="18"/>
  <c r="Z112" i="18"/>
  <c r="Y112" i="18"/>
  <c r="W112" i="18"/>
  <c r="S112" i="18"/>
  <c r="B112" i="18"/>
  <c r="U112" i="18" s="1"/>
  <c r="A112" i="18"/>
  <c r="Y111" i="18"/>
  <c r="X111" i="18"/>
  <c r="V111" i="18"/>
  <c r="U111" i="18"/>
  <c r="B111" i="18"/>
  <c r="W111" i="18" s="1"/>
  <c r="A111" i="18"/>
  <c r="V110" i="18"/>
  <c r="U110" i="18"/>
  <c r="T110" i="18"/>
  <c r="B110" i="18"/>
  <c r="A110" i="18"/>
  <c r="S109" i="18"/>
  <c r="B109" i="18"/>
  <c r="A109" i="18"/>
  <c r="Z108" i="18"/>
  <c r="X108" i="18"/>
  <c r="W108" i="18"/>
  <c r="U108" i="18"/>
  <c r="B108" i="18"/>
  <c r="A108" i="18"/>
  <c r="Z107" i="18"/>
  <c r="Y107" i="18"/>
  <c r="X107" i="18"/>
  <c r="W107" i="18"/>
  <c r="V107" i="18"/>
  <c r="U107" i="18"/>
  <c r="T107" i="18"/>
  <c r="S107" i="18"/>
  <c r="B107" i="18"/>
  <c r="A107" i="18"/>
  <c r="W106" i="18"/>
  <c r="V106" i="18"/>
  <c r="T106" i="18"/>
  <c r="B106" i="18"/>
  <c r="A106" i="18"/>
  <c r="B105" i="18"/>
  <c r="A105" i="18"/>
  <c r="Z104" i="18"/>
  <c r="Y104" i="18"/>
  <c r="W104" i="18"/>
  <c r="V104" i="18"/>
  <c r="T104" i="18"/>
  <c r="B104" i="18"/>
  <c r="X104" i="18" s="1"/>
  <c r="A104" i="18"/>
  <c r="Z103" i="18"/>
  <c r="Y103" i="18"/>
  <c r="X103" i="18"/>
  <c r="W103" i="18"/>
  <c r="U103" i="18"/>
  <c r="T103" i="18"/>
  <c r="S103" i="18"/>
  <c r="B103" i="18"/>
  <c r="V103" i="18" s="1"/>
  <c r="A103" i="18"/>
  <c r="B102" i="18"/>
  <c r="A102" i="18"/>
  <c r="Z101" i="18"/>
  <c r="Y101" i="18"/>
  <c r="X101" i="18"/>
  <c r="W101" i="18"/>
  <c r="V101" i="18"/>
  <c r="U101" i="18"/>
  <c r="T101" i="18"/>
  <c r="S101" i="18"/>
  <c r="B101" i="18"/>
  <c r="A101" i="18"/>
  <c r="Z100" i="18"/>
  <c r="Y100" i="18"/>
  <c r="X100" i="18"/>
  <c r="W100" i="18"/>
  <c r="T100" i="18"/>
  <c r="B100" i="18"/>
  <c r="U100" i="18" s="1"/>
  <c r="A100" i="18"/>
  <c r="B99" i="18"/>
  <c r="A99" i="18"/>
  <c r="Y98" i="18"/>
  <c r="X98" i="18"/>
  <c r="W98" i="18"/>
  <c r="V98" i="18"/>
  <c r="U98" i="18"/>
  <c r="T98" i="18"/>
  <c r="S98" i="18"/>
  <c r="AF92" i="18"/>
  <c r="AE92" i="18"/>
  <c r="AC92" i="18"/>
  <c r="AB92" i="18"/>
  <c r="AA92" i="18"/>
  <c r="Z92" i="18"/>
  <c r="B92" i="18"/>
  <c r="A92" i="18"/>
  <c r="AD91" i="18"/>
  <c r="AA91" i="18"/>
  <c r="Y91" i="18"/>
  <c r="B91" i="18"/>
  <c r="A91" i="18"/>
  <c r="B90" i="18"/>
  <c r="A90" i="18"/>
  <c r="AF89" i="18"/>
  <c r="AD89" i="18"/>
  <c r="AC89" i="18"/>
  <c r="AB89" i="18"/>
  <c r="AA89" i="18"/>
  <c r="Z89" i="18"/>
  <c r="Y89" i="18"/>
  <c r="B89" i="18"/>
  <c r="AE89" i="18" s="1"/>
  <c r="A89" i="18"/>
  <c r="AF88" i="18"/>
  <c r="AE88" i="18"/>
  <c r="AD88" i="18"/>
  <c r="AB88" i="18"/>
  <c r="AA88" i="18"/>
  <c r="Y88" i="18"/>
  <c r="B88" i="18"/>
  <c r="AC88" i="18" s="1"/>
  <c r="A88" i="18"/>
  <c r="AC87" i="18"/>
  <c r="AB87" i="18"/>
  <c r="B87" i="18"/>
  <c r="A87" i="18"/>
  <c r="B86" i="18"/>
  <c r="A86" i="18"/>
  <c r="AF85" i="18"/>
  <c r="AE85" i="18"/>
  <c r="AD85" i="18"/>
  <c r="AC85" i="18"/>
  <c r="Z85" i="18"/>
  <c r="B85" i="18"/>
  <c r="AB85" i="18" s="1"/>
  <c r="A85" i="18"/>
  <c r="AF84" i="18"/>
  <c r="AE84" i="18"/>
  <c r="AD84" i="18"/>
  <c r="AC84" i="18"/>
  <c r="AB84" i="18"/>
  <c r="AA84" i="18"/>
  <c r="Y84" i="18"/>
  <c r="B84" i="18"/>
  <c r="Z84" i="18" s="1"/>
  <c r="A84" i="18"/>
  <c r="AF83" i="18"/>
  <c r="AD83" i="18"/>
  <c r="AC83" i="18"/>
  <c r="AB83" i="18"/>
  <c r="AA83" i="18"/>
  <c r="Z83" i="18"/>
  <c r="Y83" i="18"/>
  <c r="B83" i="18"/>
  <c r="AE83" i="18" s="1"/>
  <c r="A83" i="18"/>
  <c r="AF82" i="18"/>
  <c r="B82" i="18"/>
  <c r="A82" i="18"/>
  <c r="AE81" i="18"/>
  <c r="AD81" i="18"/>
  <c r="AC81" i="18"/>
  <c r="AB81" i="18"/>
  <c r="Z81" i="18"/>
  <c r="Y81" i="18"/>
  <c r="B81" i="18"/>
  <c r="A81" i="18"/>
  <c r="AC80" i="18"/>
  <c r="AB80" i="18"/>
  <c r="AA80" i="18"/>
  <c r="B80" i="18"/>
  <c r="A80" i="18"/>
  <c r="Y79" i="18"/>
  <c r="B79" i="18"/>
  <c r="A79" i="18"/>
  <c r="AF78" i="18"/>
  <c r="AE78" i="18"/>
  <c r="AD78" i="18"/>
  <c r="AB78" i="18"/>
  <c r="B78" i="18"/>
  <c r="Z78" i="18" s="1"/>
  <c r="A78" i="18"/>
  <c r="AF77" i="18"/>
  <c r="AD77" i="18"/>
  <c r="AC77" i="18"/>
  <c r="AB77" i="18"/>
  <c r="AA77" i="18"/>
  <c r="Z77" i="18"/>
  <c r="Y77" i="18"/>
  <c r="B77" i="18"/>
  <c r="AE77" i="18" s="1"/>
  <c r="A77" i="18"/>
  <c r="AB76" i="18"/>
  <c r="Z76" i="18"/>
  <c r="B76" i="18"/>
  <c r="A76" i="18"/>
  <c r="AD75" i="18"/>
  <c r="B75" i="18"/>
  <c r="A75" i="18"/>
  <c r="AF74" i="18"/>
  <c r="AE74" i="18"/>
  <c r="AC74" i="18"/>
  <c r="AB74" i="18"/>
  <c r="AA74" i="18"/>
  <c r="Z74" i="18"/>
  <c r="B74" i="18"/>
  <c r="A74" i="18"/>
  <c r="AD73" i="18"/>
  <c r="AC73" i="18"/>
  <c r="AA73" i="18"/>
  <c r="Y73" i="18"/>
  <c r="B73" i="18"/>
  <c r="A73" i="18"/>
  <c r="B72" i="18"/>
  <c r="A72" i="18"/>
  <c r="AF71" i="18"/>
  <c r="AD71" i="18"/>
  <c r="AC71" i="18"/>
  <c r="AB71" i="18"/>
  <c r="AA71" i="18"/>
  <c r="Z71" i="18"/>
  <c r="Y71" i="18"/>
  <c r="B71" i="18"/>
  <c r="AE71" i="18" s="1"/>
  <c r="A71" i="18"/>
  <c r="AF70" i="18"/>
  <c r="AE70" i="18"/>
  <c r="AD70" i="18"/>
  <c r="AB70" i="18"/>
  <c r="AA70" i="18"/>
  <c r="Y70" i="18"/>
  <c r="B70" i="18"/>
  <c r="AC70" i="18" s="1"/>
  <c r="A70" i="18"/>
  <c r="Z69" i="18"/>
  <c r="B69" i="18"/>
  <c r="A69" i="18"/>
  <c r="B68" i="18"/>
  <c r="A68" i="18"/>
  <c r="AF67" i="18"/>
  <c r="AE67" i="18"/>
  <c r="AD67" i="18"/>
  <c r="AC67" i="18"/>
  <c r="Z67" i="18"/>
  <c r="B67" i="18"/>
  <c r="AB67" i="18" s="1"/>
  <c r="A67" i="18"/>
  <c r="AF66" i="18"/>
  <c r="AE66" i="18"/>
  <c r="AD66" i="18"/>
  <c r="AC66" i="18"/>
  <c r="AB66" i="18"/>
  <c r="AA66" i="18"/>
  <c r="Y66" i="18"/>
  <c r="B66" i="18"/>
  <c r="Z66" i="18" s="1"/>
  <c r="A66" i="18"/>
  <c r="AF65" i="18"/>
  <c r="AD65" i="18"/>
  <c r="AC65" i="18"/>
  <c r="AB65" i="18"/>
  <c r="AA65" i="18"/>
  <c r="Z65" i="18"/>
  <c r="Y65" i="18"/>
  <c r="B65" i="18"/>
  <c r="AE65" i="18" s="1"/>
  <c r="A65" i="18"/>
  <c r="AF64" i="18"/>
  <c r="AD64" i="18"/>
  <c r="B64" i="18"/>
  <c r="A64" i="18"/>
  <c r="AE63" i="18"/>
  <c r="AD63" i="18"/>
  <c r="AC63" i="18"/>
  <c r="AB63" i="18"/>
  <c r="Y63" i="18"/>
  <c r="B63" i="18"/>
  <c r="A63" i="18"/>
  <c r="AB62" i="18"/>
  <c r="AA62" i="18"/>
  <c r="B62" i="18"/>
  <c r="A62" i="18"/>
  <c r="Y61" i="18"/>
  <c r="B61" i="18"/>
  <c r="A61" i="18"/>
  <c r="AF60" i="18"/>
  <c r="AE60" i="18"/>
  <c r="AD60" i="18"/>
  <c r="AB60" i="18"/>
  <c r="B60" i="18"/>
  <c r="Z60" i="18" s="1"/>
  <c r="A60" i="18"/>
  <c r="AF59" i="18"/>
  <c r="AD59" i="18"/>
  <c r="AC59" i="18"/>
  <c r="AB59" i="18"/>
  <c r="AA59" i="18"/>
  <c r="Z59" i="18"/>
  <c r="Y59" i="18"/>
  <c r="B59" i="18"/>
  <c r="AE59" i="18" s="1"/>
  <c r="A59" i="18"/>
  <c r="AB58" i="18"/>
  <c r="AA58" i="18"/>
  <c r="Z58" i="18"/>
  <c r="Y58" i="18"/>
  <c r="B58" i="18"/>
  <c r="A58" i="18"/>
  <c r="AD57" i="18"/>
  <c r="B57" i="18"/>
  <c r="A57" i="18"/>
  <c r="AF56" i="18"/>
  <c r="AE56" i="18"/>
  <c r="AC56" i="18"/>
  <c r="AB56" i="18"/>
  <c r="Z56" i="18"/>
  <c r="B56" i="18"/>
  <c r="A56" i="18"/>
  <c r="Z55" i="18"/>
  <c r="Y55" i="18"/>
  <c r="B55" i="18"/>
  <c r="A55" i="18"/>
  <c r="B54" i="18"/>
  <c r="A54" i="18"/>
  <c r="AF53" i="18"/>
  <c r="AD53" i="18"/>
  <c r="AC53" i="18"/>
  <c r="AB53" i="18"/>
  <c r="AA53" i="18"/>
  <c r="Z53" i="18"/>
  <c r="Y53" i="18"/>
  <c r="B53" i="18"/>
  <c r="AE53" i="18" s="1"/>
  <c r="A53" i="18"/>
  <c r="AE52" i="18"/>
  <c r="AD52" i="18"/>
  <c r="AC52" i="18"/>
  <c r="AB52" i="18"/>
  <c r="AA52" i="18"/>
  <c r="Z52" i="18"/>
  <c r="Y52" i="18"/>
  <c r="J17" i="18"/>
  <c r="I17" i="18"/>
  <c r="H17" i="18"/>
  <c r="G17" i="18"/>
  <c r="K17" i="18" s="1"/>
  <c r="F17" i="18"/>
  <c r="J16" i="18"/>
  <c r="K16" i="18" s="1"/>
  <c r="I16" i="18"/>
  <c r="H16" i="18"/>
  <c r="G16" i="18"/>
  <c r="F16" i="18"/>
  <c r="J15" i="18"/>
  <c r="I15" i="18"/>
  <c r="H15" i="18"/>
  <c r="G15" i="18"/>
  <c r="K15" i="18" s="1"/>
  <c r="F15" i="18"/>
  <c r="J14" i="18"/>
  <c r="I14" i="18"/>
  <c r="H14" i="18"/>
  <c r="K14" i="18" s="1"/>
  <c r="G14" i="18"/>
  <c r="F14" i="18"/>
  <c r="J13" i="18"/>
  <c r="I13" i="18"/>
  <c r="H13" i="18"/>
  <c r="G13" i="18"/>
  <c r="K13" i="18" s="1"/>
  <c r="F13" i="18"/>
  <c r="J12" i="18"/>
  <c r="I12" i="18"/>
  <c r="H12" i="18"/>
  <c r="K12" i="18" s="1"/>
  <c r="G12" i="18"/>
  <c r="F12" i="18"/>
  <c r="J11" i="18"/>
  <c r="I11" i="18"/>
  <c r="H11" i="18"/>
  <c r="G11" i="18"/>
  <c r="K11" i="18" s="1"/>
  <c r="F11" i="18"/>
  <c r="E7" i="18"/>
  <c r="D7" i="18"/>
  <c r="C7" i="18"/>
  <c r="B7" i="18"/>
  <c r="A7" i="18"/>
  <c r="A5" i="18"/>
  <c r="J2" i="18"/>
  <c r="H2" i="18"/>
  <c r="F2" i="18"/>
  <c r="D2" i="18"/>
  <c r="B2" i="18"/>
  <c r="A1" i="18"/>
  <c r="V230" i="17"/>
  <c r="B230" i="17"/>
  <c r="A230" i="17"/>
  <c r="W229" i="17"/>
  <c r="V229" i="17"/>
  <c r="U229" i="17"/>
  <c r="S229" i="17"/>
  <c r="B229" i="17"/>
  <c r="Q229" i="17" s="1"/>
  <c r="A229" i="17"/>
  <c r="W228" i="17"/>
  <c r="U228" i="17"/>
  <c r="T228" i="17"/>
  <c r="S228" i="17"/>
  <c r="R228" i="17"/>
  <c r="Q228" i="17"/>
  <c r="P228" i="17"/>
  <c r="B228" i="17"/>
  <c r="V228" i="17" s="1"/>
  <c r="A228" i="17"/>
  <c r="S227" i="17"/>
  <c r="R227" i="17"/>
  <c r="Q227" i="17"/>
  <c r="P227" i="17"/>
  <c r="B227" i="17"/>
  <c r="A227" i="17"/>
  <c r="B226" i="17"/>
  <c r="A226" i="17"/>
  <c r="W225" i="17"/>
  <c r="V225" i="17"/>
  <c r="T225" i="17"/>
  <c r="S225" i="17"/>
  <c r="Q225" i="17"/>
  <c r="B225" i="17"/>
  <c r="A225" i="17"/>
  <c r="U224" i="17"/>
  <c r="T224" i="17"/>
  <c r="Q224" i="17"/>
  <c r="P224" i="17"/>
  <c r="B224" i="17"/>
  <c r="A224" i="17"/>
  <c r="B223" i="17"/>
  <c r="A223" i="17"/>
  <c r="W222" i="17"/>
  <c r="U222" i="17"/>
  <c r="T222" i="17"/>
  <c r="S222" i="17"/>
  <c r="R222" i="17"/>
  <c r="Q222" i="17"/>
  <c r="P222" i="17"/>
  <c r="B222" i="17"/>
  <c r="V222" i="17" s="1"/>
  <c r="A222" i="17"/>
  <c r="W221" i="17"/>
  <c r="V221" i="17"/>
  <c r="U221" i="17"/>
  <c r="S221" i="17"/>
  <c r="R221" i="17"/>
  <c r="P221" i="17"/>
  <c r="B221" i="17"/>
  <c r="T221" i="17" s="1"/>
  <c r="A221" i="17"/>
  <c r="P220" i="17"/>
  <c r="B220" i="17"/>
  <c r="A220" i="17"/>
  <c r="B219" i="17"/>
  <c r="A219" i="17"/>
  <c r="B218" i="17"/>
  <c r="S218" i="17" s="1"/>
  <c r="A218" i="17"/>
  <c r="B217" i="17"/>
  <c r="Q217" i="17" s="1"/>
  <c r="A217" i="17"/>
  <c r="T216" i="17"/>
  <c r="B216" i="17"/>
  <c r="V216" i="17" s="1"/>
  <c r="A216" i="17"/>
  <c r="B215" i="17"/>
  <c r="A215" i="17"/>
  <c r="B214" i="17"/>
  <c r="S214" i="17" s="1"/>
  <c r="A214" i="17"/>
  <c r="B213" i="17"/>
  <c r="Q213" i="17" s="1"/>
  <c r="A213" i="17"/>
  <c r="B212" i="17"/>
  <c r="V212" i="17" s="1"/>
  <c r="A212" i="17"/>
  <c r="B211" i="17"/>
  <c r="Q211" i="17" s="1"/>
  <c r="A211" i="17"/>
  <c r="V210" i="17"/>
  <c r="U210" i="17"/>
  <c r="T210" i="17"/>
  <c r="S210" i="17"/>
  <c r="B210" i="17"/>
  <c r="R210" i="17" s="1"/>
  <c r="A210" i="17"/>
  <c r="B209" i="17"/>
  <c r="U209" i="17" s="1"/>
  <c r="A209" i="17"/>
  <c r="B208" i="17"/>
  <c r="V208" i="17" s="1"/>
  <c r="A208" i="17"/>
  <c r="B207" i="17"/>
  <c r="V207" i="17" s="1"/>
  <c r="A207" i="17"/>
  <c r="V206" i="17"/>
  <c r="U206" i="17"/>
  <c r="T206" i="17"/>
  <c r="Q206" i="17"/>
  <c r="W206" i="17" s="1"/>
  <c r="P206" i="17"/>
  <c r="B206" i="17"/>
  <c r="S206" i="17" s="1"/>
  <c r="A206" i="17"/>
  <c r="B205" i="17"/>
  <c r="A205" i="17"/>
  <c r="U204" i="17"/>
  <c r="T204" i="17"/>
  <c r="S204" i="17"/>
  <c r="R204" i="17"/>
  <c r="B204" i="17"/>
  <c r="Q204" i="17" s="1"/>
  <c r="A204" i="17"/>
  <c r="B203" i="17"/>
  <c r="T203" i="17" s="1"/>
  <c r="A203" i="17"/>
  <c r="B202" i="17"/>
  <c r="R202" i="17" s="1"/>
  <c r="A202" i="17"/>
  <c r="B201" i="17"/>
  <c r="R201" i="17" s="1"/>
  <c r="A201" i="17"/>
  <c r="V200" i="17"/>
  <c r="B200" i="17"/>
  <c r="T200" i="17" s="1"/>
  <c r="A200" i="17"/>
  <c r="B199" i="17"/>
  <c r="Q199" i="17" s="1"/>
  <c r="A199" i="17"/>
  <c r="B198" i="17"/>
  <c r="U198" i="17" s="1"/>
  <c r="A198" i="17"/>
  <c r="B197" i="17"/>
  <c r="T197" i="17" s="1"/>
  <c r="A197" i="17"/>
  <c r="V196" i="17"/>
  <c r="B196" i="17"/>
  <c r="R196" i="17" s="1"/>
  <c r="A196" i="17"/>
  <c r="B195" i="17"/>
  <c r="A195" i="17"/>
  <c r="B194" i="17"/>
  <c r="R194" i="17" s="1"/>
  <c r="A194" i="17"/>
  <c r="B193" i="17"/>
  <c r="R193" i="17" s="1"/>
  <c r="A193" i="17"/>
  <c r="B192" i="17"/>
  <c r="A192" i="17"/>
  <c r="B191" i="17"/>
  <c r="T191" i="17" s="1"/>
  <c r="A191" i="17"/>
  <c r="V190" i="17"/>
  <c r="U190" i="17"/>
  <c r="T190" i="17"/>
  <c r="S190" i="17"/>
  <c r="R190" i="17"/>
  <c r="Q190" i="17"/>
  <c r="P190" i="17"/>
  <c r="B184" i="17"/>
  <c r="A184" i="17"/>
  <c r="AE183" i="17"/>
  <c r="B183" i="17"/>
  <c r="A183" i="17"/>
  <c r="Z182" i="17"/>
  <c r="B182" i="17"/>
  <c r="A182" i="17"/>
  <c r="B181" i="17"/>
  <c r="A181" i="17"/>
  <c r="AF180" i="17"/>
  <c r="AE180" i="17"/>
  <c r="AD180" i="17"/>
  <c r="AC180" i="17"/>
  <c r="AB180" i="17"/>
  <c r="AA180" i="17"/>
  <c r="Y180" i="17"/>
  <c r="B180" i="17"/>
  <c r="Z180" i="17" s="1"/>
  <c r="A180" i="17"/>
  <c r="AF179" i="17"/>
  <c r="AE179" i="17"/>
  <c r="AD179" i="17"/>
  <c r="AC179" i="17"/>
  <c r="AB179" i="17"/>
  <c r="AA179" i="17"/>
  <c r="Z179" i="17"/>
  <c r="Y179" i="17"/>
  <c r="B179" i="17"/>
  <c r="A179" i="17"/>
  <c r="AD178" i="17"/>
  <c r="AB178" i="17"/>
  <c r="AA178" i="17"/>
  <c r="Z178" i="17"/>
  <c r="Y178" i="17"/>
  <c r="B178" i="17"/>
  <c r="A178" i="17"/>
  <c r="B177" i="17"/>
  <c r="A177" i="17"/>
  <c r="AF176" i="17"/>
  <c r="AE176" i="17"/>
  <c r="AC176" i="17"/>
  <c r="Z176" i="17"/>
  <c r="B176" i="17"/>
  <c r="A176" i="17"/>
  <c r="B175" i="17"/>
  <c r="A175" i="17"/>
  <c r="AF174" i="17"/>
  <c r="AE174" i="17"/>
  <c r="AD174" i="17"/>
  <c r="AC174" i="17"/>
  <c r="AB174" i="17"/>
  <c r="AA174" i="17"/>
  <c r="Y174" i="17"/>
  <c r="B174" i="17"/>
  <c r="Z174" i="17" s="1"/>
  <c r="A174" i="17"/>
  <c r="AF173" i="17"/>
  <c r="AE173" i="17"/>
  <c r="AD173" i="17"/>
  <c r="AC173" i="17"/>
  <c r="AB173" i="17"/>
  <c r="AA173" i="17"/>
  <c r="Z173" i="17"/>
  <c r="Y173" i="17"/>
  <c r="B173" i="17"/>
  <c r="A173" i="17"/>
  <c r="B172" i="17"/>
  <c r="Z172" i="17" s="1"/>
  <c r="A172" i="17"/>
  <c r="B171" i="17"/>
  <c r="Y171" i="17" s="1"/>
  <c r="A171" i="17"/>
  <c r="AE170" i="17"/>
  <c r="B170" i="17"/>
  <c r="AC170" i="17" s="1"/>
  <c r="A170" i="17"/>
  <c r="B169" i="17"/>
  <c r="A169" i="17"/>
  <c r="B168" i="17"/>
  <c r="Z168" i="17" s="1"/>
  <c r="A168" i="17"/>
  <c r="B167" i="17"/>
  <c r="Z167" i="17" s="1"/>
  <c r="A167" i="17"/>
  <c r="B166" i="17"/>
  <c r="Y166" i="17" s="1"/>
  <c r="A166" i="17"/>
  <c r="B165" i="17"/>
  <c r="AE165" i="17" s="1"/>
  <c r="A165" i="17"/>
  <c r="B164" i="17"/>
  <c r="A164" i="17"/>
  <c r="AE163" i="17"/>
  <c r="AC163" i="17"/>
  <c r="B163" i="17"/>
  <c r="AD163" i="17" s="1"/>
  <c r="A163" i="17"/>
  <c r="AE162" i="17"/>
  <c r="AC162" i="17"/>
  <c r="B162" i="17"/>
  <c r="Z162" i="17" s="1"/>
  <c r="A162" i="17"/>
  <c r="B161" i="17"/>
  <c r="Z161" i="17" s="1"/>
  <c r="A161" i="17"/>
  <c r="B160" i="17"/>
  <c r="AD160" i="17" s="1"/>
  <c r="A160" i="17"/>
  <c r="B159" i="17"/>
  <c r="A159" i="17"/>
  <c r="B158" i="17"/>
  <c r="Z158" i="17" s="1"/>
  <c r="A158" i="17"/>
  <c r="B157" i="17"/>
  <c r="AE157" i="17" s="1"/>
  <c r="A157" i="17"/>
  <c r="B156" i="17"/>
  <c r="Z156" i="17" s="1"/>
  <c r="A156" i="17"/>
  <c r="B155" i="17"/>
  <c r="A155" i="17"/>
  <c r="AD154" i="17"/>
  <c r="AB154" i="17"/>
  <c r="AA154" i="17"/>
  <c r="B154" i="17"/>
  <c r="Z154" i="17" s="1"/>
  <c r="A154" i="17"/>
  <c r="B153" i="17"/>
  <c r="AE153" i="17" s="1"/>
  <c r="A153" i="17"/>
  <c r="B152" i="17"/>
  <c r="AE152" i="17" s="1"/>
  <c r="A152" i="17"/>
  <c r="B151" i="17"/>
  <c r="A151" i="17"/>
  <c r="AE150" i="17"/>
  <c r="AD150" i="17"/>
  <c r="AC150" i="17"/>
  <c r="B150" i="17"/>
  <c r="Z150" i="17" s="1"/>
  <c r="A150" i="17"/>
  <c r="AE149" i="17"/>
  <c r="AD149" i="17"/>
  <c r="AC149" i="17"/>
  <c r="AB149" i="17"/>
  <c r="B149" i="17"/>
  <c r="AA149" i="17" s="1"/>
  <c r="A149" i="17"/>
  <c r="B148" i="17"/>
  <c r="AD148" i="17" s="1"/>
  <c r="A148" i="17"/>
  <c r="B147" i="17"/>
  <c r="A147" i="17"/>
  <c r="B146" i="17"/>
  <c r="A146" i="17"/>
  <c r="B145" i="17"/>
  <c r="AC145" i="17" s="1"/>
  <c r="A145" i="17"/>
  <c r="AE144" i="17"/>
  <c r="AD144" i="17"/>
  <c r="AC144" i="17"/>
  <c r="AB144" i="17"/>
  <c r="AA144" i="17"/>
  <c r="Z144" i="17"/>
  <c r="Y144" i="17"/>
  <c r="B138" i="17"/>
  <c r="A138" i="17"/>
  <c r="Z137" i="17"/>
  <c r="X137" i="17"/>
  <c r="U137" i="17"/>
  <c r="S137" i="17"/>
  <c r="B137" i="17"/>
  <c r="A137" i="17"/>
  <c r="Z136" i="17"/>
  <c r="Y136" i="17"/>
  <c r="X136" i="17"/>
  <c r="V136" i="17"/>
  <c r="S136" i="17"/>
  <c r="B136" i="17"/>
  <c r="W136" i="17" s="1"/>
  <c r="A136" i="17"/>
  <c r="Z135" i="17"/>
  <c r="Y135" i="17"/>
  <c r="X135" i="17"/>
  <c r="W135" i="17"/>
  <c r="V135" i="17"/>
  <c r="T135" i="17"/>
  <c r="B135" i="17"/>
  <c r="U135" i="17" s="1"/>
  <c r="A135" i="17"/>
  <c r="Y134" i="17"/>
  <c r="X134" i="17"/>
  <c r="W134" i="17"/>
  <c r="U134" i="17"/>
  <c r="T134" i="17"/>
  <c r="B134" i="17"/>
  <c r="A134" i="17"/>
  <c r="W133" i="17"/>
  <c r="V133" i="17"/>
  <c r="T133" i="17"/>
  <c r="S133" i="17"/>
  <c r="B133" i="17"/>
  <c r="A133" i="17"/>
  <c r="B132" i="17"/>
  <c r="A132" i="17"/>
  <c r="Z131" i="17"/>
  <c r="X131" i="17"/>
  <c r="U131" i="17"/>
  <c r="S131" i="17"/>
  <c r="B131" i="17"/>
  <c r="A131" i="17"/>
  <c r="Z130" i="17"/>
  <c r="Y130" i="17"/>
  <c r="X130" i="17"/>
  <c r="V130" i="17"/>
  <c r="S130" i="17"/>
  <c r="B130" i="17"/>
  <c r="W130" i="17" s="1"/>
  <c r="A130" i="17"/>
  <c r="Z129" i="17"/>
  <c r="Y129" i="17"/>
  <c r="X129" i="17"/>
  <c r="W129" i="17"/>
  <c r="V129" i="17"/>
  <c r="T129" i="17"/>
  <c r="B129" i="17"/>
  <c r="U129" i="17" s="1"/>
  <c r="A129" i="17"/>
  <c r="V128" i="17"/>
  <c r="U128" i="17"/>
  <c r="B128" i="17"/>
  <c r="A128" i="17"/>
  <c r="W127" i="17"/>
  <c r="B127" i="17"/>
  <c r="A127" i="17"/>
  <c r="W126" i="17"/>
  <c r="B126" i="17"/>
  <c r="U126" i="17" s="1"/>
  <c r="A126" i="17"/>
  <c r="B125" i="17"/>
  <c r="A125" i="17"/>
  <c r="B124" i="17"/>
  <c r="W124" i="17" s="1"/>
  <c r="A124" i="17"/>
  <c r="B123" i="17"/>
  <c r="U123" i="17" s="1"/>
  <c r="A123" i="17"/>
  <c r="B122" i="17"/>
  <c r="X122" i="17" s="1"/>
  <c r="A122" i="17"/>
  <c r="W121" i="17"/>
  <c r="B121" i="17"/>
  <c r="T121" i="17" s="1"/>
  <c r="A121" i="17"/>
  <c r="B120" i="17"/>
  <c r="S120" i="17" s="1"/>
  <c r="A120" i="17"/>
  <c r="X119" i="17"/>
  <c r="B119" i="17"/>
  <c r="U119" i="17" s="1"/>
  <c r="A119" i="17"/>
  <c r="B118" i="17"/>
  <c r="W118" i="17" s="1"/>
  <c r="A118" i="17"/>
  <c r="B117" i="17"/>
  <c r="U117" i="17" s="1"/>
  <c r="A117" i="17"/>
  <c r="Y116" i="17"/>
  <c r="U116" i="17"/>
  <c r="B116" i="17"/>
  <c r="X116" i="17" s="1"/>
  <c r="A116" i="17"/>
  <c r="B115" i="17"/>
  <c r="T115" i="17" s="1"/>
  <c r="A115" i="17"/>
  <c r="B114" i="17"/>
  <c r="A114" i="17"/>
  <c r="B113" i="17"/>
  <c r="A113" i="17"/>
  <c r="B112" i="17"/>
  <c r="W112" i="17" s="1"/>
  <c r="A112" i="17"/>
  <c r="B111" i="17"/>
  <c r="U111" i="17" s="1"/>
  <c r="A111" i="17"/>
  <c r="B110" i="17"/>
  <c r="X110" i="17" s="1"/>
  <c r="A110" i="17"/>
  <c r="B109" i="17"/>
  <c r="S109" i="17" s="1"/>
  <c r="A109" i="17"/>
  <c r="B108" i="17"/>
  <c r="W108" i="17" s="1"/>
  <c r="A108" i="17"/>
  <c r="B107" i="17"/>
  <c r="U107" i="17" s="1"/>
  <c r="A107" i="17"/>
  <c r="Y106" i="17"/>
  <c r="X106" i="17"/>
  <c r="V106" i="17"/>
  <c r="S106" i="17"/>
  <c r="B106" i="17"/>
  <c r="W106" i="17" s="1"/>
  <c r="A106" i="17"/>
  <c r="Y105" i="17"/>
  <c r="W105" i="17"/>
  <c r="B105" i="17"/>
  <c r="U105" i="17" s="1"/>
  <c r="A105" i="17"/>
  <c r="B104" i="17"/>
  <c r="Y104" i="17" s="1"/>
  <c r="A104" i="17"/>
  <c r="Y103" i="17"/>
  <c r="W103" i="17"/>
  <c r="V103" i="17"/>
  <c r="T103" i="17"/>
  <c r="S103" i="17"/>
  <c r="B103" i="17"/>
  <c r="A103" i="17"/>
  <c r="B102" i="17"/>
  <c r="W102" i="17" s="1"/>
  <c r="A102" i="17"/>
  <c r="B101" i="17"/>
  <c r="X101" i="17" s="1"/>
  <c r="A101" i="17"/>
  <c r="Y100" i="17"/>
  <c r="V100" i="17"/>
  <c r="B100" i="17"/>
  <c r="W100" i="17" s="1"/>
  <c r="A100" i="17"/>
  <c r="B99" i="17"/>
  <c r="U99" i="17" s="1"/>
  <c r="A99" i="17"/>
  <c r="Y98" i="17"/>
  <c r="X98" i="17"/>
  <c r="W98" i="17"/>
  <c r="V98" i="17"/>
  <c r="U98" i="17"/>
  <c r="T98" i="17"/>
  <c r="S98" i="17"/>
  <c r="B92" i="17"/>
  <c r="A92" i="17"/>
  <c r="B91" i="17"/>
  <c r="A91" i="17"/>
  <c r="AD90" i="17"/>
  <c r="AC90" i="17"/>
  <c r="AA90" i="17"/>
  <c r="B90" i="17"/>
  <c r="A90" i="17"/>
  <c r="AF89" i="17"/>
  <c r="AE89" i="17"/>
  <c r="AD89" i="17"/>
  <c r="AC89" i="17"/>
  <c r="AB89" i="17"/>
  <c r="AA89" i="17"/>
  <c r="Y89" i="17"/>
  <c r="B89" i="17"/>
  <c r="Z89" i="17" s="1"/>
  <c r="A89" i="17"/>
  <c r="AF88" i="17"/>
  <c r="AE88" i="17"/>
  <c r="AD88" i="17"/>
  <c r="AC88" i="17"/>
  <c r="AB88" i="17"/>
  <c r="AA88" i="17"/>
  <c r="Z88" i="17"/>
  <c r="Y88" i="17"/>
  <c r="B88" i="17"/>
  <c r="A88" i="17"/>
  <c r="AD87" i="17"/>
  <c r="AB87" i="17"/>
  <c r="AA87" i="17"/>
  <c r="B87" i="17"/>
  <c r="A87" i="17"/>
  <c r="AE86" i="17"/>
  <c r="AB86" i="17"/>
  <c r="Z86" i="17"/>
  <c r="B86" i="17"/>
  <c r="A86" i="17"/>
  <c r="AF85" i="17"/>
  <c r="AE85" i="17"/>
  <c r="AC85" i="17"/>
  <c r="B85" i="17"/>
  <c r="A85" i="17"/>
  <c r="AE84" i="17"/>
  <c r="A84" i="17"/>
  <c r="AE83" i="17"/>
  <c r="AD83" i="17"/>
  <c r="AC83" i="17"/>
  <c r="AB83" i="17"/>
  <c r="AA83" i="17"/>
  <c r="Y83" i="17"/>
  <c r="AF83" i="17" s="1"/>
  <c r="Z83" i="17"/>
  <c r="A83" i="17"/>
  <c r="AE82" i="17"/>
  <c r="AD82" i="17"/>
  <c r="AC82" i="17"/>
  <c r="AB82" i="17"/>
  <c r="AA82" i="17"/>
  <c r="Z82" i="17"/>
  <c r="Y82" i="17"/>
  <c r="AF82" i="17" s="1"/>
  <c r="A82" i="17"/>
  <c r="Z81" i="17"/>
  <c r="A81" i="17"/>
  <c r="AB80" i="17"/>
  <c r="Y80" i="17"/>
  <c r="A80" i="17"/>
  <c r="AC79" i="17"/>
  <c r="A79" i="17"/>
  <c r="AE78" i="17"/>
  <c r="AA78" i="17"/>
  <c r="A78" i="17"/>
  <c r="AE77" i="17"/>
  <c r="AD77" i="17"/>
  <c r="AC77" i="17"/>
  <c r="Z77" i="17"/>
  <c r="A77" i="17"/>
  <c r="AD76" i="17"/>
  <c r="AC76" i="17"/>
  <c r="AB76" i="17"/>
  <c r="AA76" i="17"/>
  <c r="Z76" i="17"/>
  <c r="Y76" i="17"/>
  <c r="A76" i="17"/>
  <c r="AD75" i="17"/>
  <c r="A75" i="17"/>
  <c r="AE74" i="17"/>
  <c r="A74" i="17"/>
  <c r="AE73" i="17"/>
  <c r="AC73" i="17"/>
  <c r="A73" i="17"/>
  <c r="AC72" i="17"/>
  <c r="A72" i="17"/>
  <c r="Z71" i="17"/>
  <c r="A71" i="17"/>
  <c r="AE70" i="17"/>
  <c r="AD70" i="17"/>
  <c r="AC70" i="17"/>
  <c r="AA70" i="17"/>
  <c r="Y70" i="17"/>
  <c r="AB70" i="17"/>
  <c r="A70" i="17"/>
  <c r="AD69" i="17"/>
  <c r="A69" i="17"/>
  <c r="A68" i="17"/>
  <c r="Z67" i="17"/>
  <c r="AE67" i="17"/>
  <c r="A67" i="17"/>
  <c r="AC66" i="17"/>
  <c r="A66" i="17"/>
  <c r="Z65" i="17"/>
  <c r="A65" i="17"/>
  <c r="AE64" i="17"/>
  <c r="AD64" i="17"/>
  <c r="AC64" i="17"/>
  <c r="AA64" i="17"/>
  <c r="Y64" i="17"/>
  <c r="AB64" i="17"/>
  <c r="A64" i="17"/>
  <c r="A63" i="17"/>
  <c r="AE62" i="17"/>
  <c r="AB62" i="17"/>
  <c r="Z62" i="17"/>
  <c r="A62" i="17"/>
  <c r="AC61" i="17"/>
  <c r="A61" i="17"/>
  <c r="AE60" i="17"/>
  <c r="A60" i="17"/>
  <c r="AE59" i="17"/>
  <c r="AD59" i="17"/>
  <c r="AB59" i="17"/>
  <c r="Y59" i="17"/>
  <c r="Z59" i="17"/>
  <c r="A59" i="17"/>
  <c r="AE58" i="17"/>
  <c r="AD58" i="17"/>
  <c r="AC58" i="17"/>
  <c r="AB58" i="17"/>
  <c r="AA58" i="17"/>
  <c r="Z58" i="17"/>
  <c r="Y58" i="17"/>
  <c r="A58" i="17"/>
  <c r="A57" i="17"/>
  <c r="AE56" i="17"/>
  <c r="A56" i="17"/>
  <c r="AC55" i="17"/>
  <c r="A55" i="17"/>
  <c r="AE54" i="17"/>
  <c r="AA54" i="17"/>
  <c r="A54" i="17"/>
  <c r="AE53" i="17"/>
  <c r="AD53" i="17"/>
  <c r="AC53" i="17"/>
  <c r="Z53" i="17"/>
  <c r="A53" i="17"/>
  <c r="AE52" i="17"/>
  <c r="AD52" i="17"/>
  <c r="AC52" i="17"/>
  <c r="AB52" i="17"/>
  <c r="AA52" i="17"/>
  <c r="Z52" i="17"/>
  <c r="Y52" i="17"/>
  <c r="J17" i="17"/>
  <c r="I17" i="17"/>
  <c r="H17" i="17"/>
  <c r="G17" i="17"/>
  <c r="F17" i="17"/>
  <c r="J16" i="17"/>
  <c r="I16" i="17"/>
  <c r="H16" i="17"/>
  <c r="G16" i="17"/>
  <c r="F16" i="17"/>
  <c r="J15" i="17"/>
  <c r="I15" i="17"/>
  <c r="H15" i="17"/>
  <c r="G15" i="17"/>
  <c r="F15" i="17"/>
  <c r="J14" i="17"/>
  <c r="I14" i="17"/>
  <c r="H14" i="17"/>
  <c r="G14" i="17"/>
  <c r="F14" i="17"/>
  <c r="J13" i="17"/>
  <c r="I13" i="17"/>
  <c r="H13" i="17"/>
  <c r="G13" i="17"/>
  <c r="F13" i="17"/>
  <c r="J12" i="17"/>
  <c r="I12" i="17"/>
  <c r="H12" i="17"/>
  <c r="G12" i="17"/>
  <c r="F12" i="17"/>
  <c r="J11" i="17"/>
  <c r="I11" i="17"/>
  <c r="H11" i="17"/>
  <c r="G11" i="17"/>
  <c r="K11" i="17" s="1"/>
  <c r="F11" i="17"/>
  <c r="E7" i="17"/>
  <c r="D7" i="17"/>
  <c r="C7" i="17"/>
  <c r="B7" i="17"/>
  <c r="A7" i="17"/>
  <c r="A5" i="17"/>
  <c r="J2" i="17"/>
  <c r="H2" i="17"/>
  <c r="F2" i="17"/>
  <c r="D2" i="17"/>
  <c r="B2" i="17"/>
  <c r="A1" i="17"/>
  <c r="Q230" i="16"/>
  <c r="B230" i="16"/>
  <c r="A230" i="16"/>
  <c r="W229" i="16"/>
  <c r="U229" i="16"/>
  <c r="B229" i="16"/>
  <c r="A229" i="16"/>
  <c r="W228" i="16"/>
  <c r="V228" i="16"/>
  <c r="U228" i="16"/>
  <c r="T228" i="16"/>
  <c r="S228" i="16"/>
  <c r="R228" i="16"/>
  <c r="P228" i="16"/>
  <c r="B228" i="16"/>
  <c r="Q228" i="16" s="1"/>
  <c r="A228" i="16"/>
  <c r="W227" i="16"/>
  <c r="V227" i="16"/>
  <c r="U227" i="16"/>
  <c r="T227" i="16"/>
  <c r="S227" i="16"/>
  <c r="R227" i="16"/>
  <c r="Q227" i="16"/>
  <c r="P227" i="16"/>
  <c r="B227" i="16"/>
  <c r="A227" i="16"/>
  <c r="U226" i="16"/>
  <c r="S226" i="16"/>
  <c r="R226" i="16"/>
  <c r="Q226" i="16"/>
  <c r="P226" i="16"/>
  <c r="B226" i="16"/>
  <c r="A226" i="16"/>
  <c r="V225" i="16"/>
  <c r="S225" i="16"/>
  <c r="B225" i="16"/>
  <c r="A225" i="16"/>
  <c r="W224" i="16"/>
  <c r="V224" i="16"/>
  <c r="T224" i="16"/>
  <c r="Q224" i="16"/>
  <c r="B224" i="16"/>
  <c r="A224" i="16"/>
  <c r="B223" i="16"/>
  <c r="T223" i="16" s="1"/>
  <c r="A223" i="16"/>
  <c r="B222" i="16"/>
  <c r="Q222" i="16" s="1"/>
  <c r="A222" i="16"/>
  <c r="B221" i="16"/>
  <c r="V221" i="16" s="1"/>
  <c r="A221" i="16"/>
  <c r="B220" i="16"/>
  <c r="R220" i="16" s="1"/>
  <c r="A220" i="16"/>
  <c r="B219" i="16"/>
  <c r="A219" i="16"/>
  <c r="B218" i="16"/>
  <c r="T218" i="16" s="1"/>
  <c r="A218" i="16"/>
  <c r="B217" i="16"/>
  <c r="T217" i="16" s="1"/>
  <c r="A217" i="16"/>
  <c r="B216" i="16"/>
  <c r="Q216" i="16" s="1"/>
  <c r="A216" i="16"/>
  <c r="B215" i="16"/>
  <c r="P215" i="16" s="1"/>
  <c r="W215" i="16" s="1"/>
  <c r="A215" i="16"/>
  <c r="B214" i="16"/>
  <c r="S214" i="16" s="1"/>
  <c r="A214" i="16"/>
  <c r="V213" i="16"/>
  <c r="S213" i="16"/>
  <c r="Q213" i="16"/>
  <c r="B213" i="16"/>
  <c r="P213" i="16" s="1"/>
  <c r="A213" i="16"/>
  <c r="B212" i="16"/>
  <c r="A212" i="16"/>
  <c r="B211" i="16"/>
  <c r="T211" i="16" s="1"/>
  <c r="A211" i="16"/>
  <c r="V210" i="16"/>
  <c r="S210" i="16"/>
  <c r="B210" i="16"/>
  <c r="Q210" i="16" s="1"/>
  <c r="A210" i="16"/>
  <c r="U209" i="16"/>
  <c r="T209" i="16"/>
  <c r="S209" i="16"/>
  <c r="R209" i="16"/>
  <c r="Q209" i="16"/>
  <c r="P209" i="16"/>
  <c r="B209" i="16"/>
  <c r="W209" i="16" s="1"/>
  <c r="A209" i="16"/>
  <c r="U208" i="16"/>
  <c r="B208" i="16"/>
  <c r="P208" i="16" s="1"/>
  <c r="A208" i="16"/>
  <c r="B207" i="16"/>
  <c r="S207" i="16" s="1"/>
  <c r="A207" i="16"/>
  <c r="B206" i="16"/>
  <c r="Q206" i="16" s="1"/>
  <c r="A206" i="16"/>
  <c r="B205" i="16"/>
  <c r="V205" i="16" s="1"/>
  <c r="A205" i="16"/>
  <c r="B204" i="16"/>
  <c r="Q204" i="16" s="1"/>
  <c r="A204" i="16"/>
  <c r="B203" i="16"/>
  <c r="V203" i="16" s="1"/>
  <c r="A203" i="16"/>
  <c r="B202" i="16"/>
  <c r="R202" i="16" s="1"/>
  <c r="A202" i="16"/>
  <c r="B201" i="16"/>
  <c r="Q201" i="16" s="1"/>
  <c r="A201" i="16"/>
  <c r="V200" i="16"/>
  <c r="B200" i="16"/>
  <c r="T200" i="16" s="1"/>
  <c r="A200" i="16"/>
  <c r="B199" i="16"/>
  <c r="U199" i="16" s="1"/>
  <c r="A199" i="16"/>
  <c r="V198" i="16"/>
  <c r="U198" i="16"/>
  <c r="T198" i="16"/>
  <c r="R198" i="16"/>
  <c r="P198" i="16"/>
  <c r="B198" i="16"/>
  <c r="Q198" i="16" s="1"/>
  <c r="A198" i="16"/>
  <c r="B197" i="16"/>
  <c r="R197" i="16" s="1"/>
  <c r="A197" i="16"/>
  <c r="B196" i="16"/>
  <c r="Q196" i="16" s="1"/>
  <c r="A196" i="16"/>
  <c r="B195" i="16"/>
  <c r="V195" i="16" s="1"/>
  <c r="A195" i="16"/>
  <c r="B194" i="16"/>
  <c r="V194" i="16" s="1"/>
  <c r="A194" i="16"/>
  <c r="B193" i="16"/>
  <c r="A193" i="16"/>
  <c r="V192" i="16"/>
  <c r="U192" i="16"/>
  <c r="T192" i="16"/>
  <c r="S192" i="16"/>
  <c r="B192" i="16"/>
  <c r="Q192" i="16" s="1"/>
  <c r="A192" i="16"/>
  <c r="B191" i="16"/>
  <c r="W191" i="16" s="1"/>
  <c r="A191" i="16"/>
  <c r="V190" i="16"/>
  <c r="U190" i="16"/>
  <c r="T190" i="16"/>
  <c r="S190" i="16"/>
  <c r="R190" i="16"/>
  <c r="Q190" i="16"/>
  <c r="P190" i="16"/>
  <c r="AF184" i="16"/>
  <c r="AE184" i="16"/>
  <c r="AD184" i="16"/>
  <c r="AB184" i="16"/>
  <c r="Y184" i="16"/>
  <c r="B184" i="16"/>
  <c r="AC184" i="16" s="1"/>
  <c r="A184" i="16"/>
  <c r="AF183" i="16"/>
  <c r="AE183" i="16"/>
  <c r="AD183" i="16"/>
  <c r="AC183" i="16"/>
  <c r="AB183" i="16"/>
  <c r="Z183" i="16"/>
  <c r="B183" i="16"/>
  <c r="AA183" i="16" s="1"/>
  <c r="A183" i="16"/>
  <c r="AE182" i="16"/>
  <c r="AB182" i="16"/>
  <c r="AA182" i="16"/>
  <c r="B182" i="16"/>
  <c r="A182" i="16"/>
  <c r="AE181" i="16"/>
  <c r="AC181" i="16"/>
  <c r="AB181" i="16"/>
  <c r="AA181" i="16"/>
  <c r="Z181" i="16"/>
  <c r="B181" i="16"/>
  <c r="A181" i="16"/>
  <c r="AF180" i="16"/>
  <c r="AC180" i="16"/>
  <c r="AA180" i="16"/>
  <c r="Z180" i="16"/>
  <c r="Y180" i="16"/>
  <c r="B180" i="16"/>
  <c r="A180" i="16"/>
  <c r="B179" i="16"/>
  <c r="A179" i="16"/>
  <c r="AF178" i="16"/>
  <c r="AE178" i="16"/>
  <c r="AD178" i="16"/>
  <c r="AB178" i="16"/>
  <c r="Y178" i="16"/>
  <c r="B178" i="16"/>
  <c r="AC178" i="16" s="1"/>
  <c r="A178" i="16"/>
  <c r="B177" i="16"/>
  <c r="AA177" i="16" s="1"/>
  <c r="A177" i="16"/>
  <c r="AE176" i="16"/>
  <c r="AD176" i="16"/>
  <c r="AC176" i="16"/>
  <c r="B176" i="16"/>
  <c r="AA176" i="16" s="1"/>
  <c r="A176" i="16"/>
  <c r="B175" i="16"/>
  <c r="AE175" i="16" s="1"/>
  <c r="A175" i="16"/>
  <c r="B174" i="16"/>
  <c r="Y174" i="16" s="1"/>
  <c r="A174" i="16"/>
  <c r="B173" i="16"/>
  <c r="Y173" i="16" s="1"/>
  <c r="A173" i="16"/>
  <c r="B172" i="16"/>
  <c r="AC172" i="16" s="1"/>
  <c r="A172" i="16"/>
  <c r="B171" i="16"/>
  <c r="AA171" i="16" s="1"/>
  <c r="A171" i="16"/>
  <c r="AA170" i="16"/>
  <c r="Z170" i="16"/>
  <c r="B170" i="16"/>
  <c r="A170" i="16"/>
  <c r="B169" i="16"/>
  <c r="Z169" i="16" s="1"/>
  <c r="A169" i="16"/>
  <c r="B168" i="16"/>
  <c r="AA168" i="16" s="1"/>
  <c r="A168" i="16"/>
  <c r="B167" i="16"/>
  <c r="AA167" i="16" s="1"/>
  <c r="A167" i="16"/>
  <c r="AE166" i="16"/>
  <c r="B166" i="16"/>
  <c r="AC166" i="16" s="1"/>
  <c r="A166" i="16"/>
  <c r="B165" i="16"/>
  <c r="AA165" i="16" s="1"/>
  <c r="A165" i="16"/>
  <c r="B164" i="16"/>
  <c r="AB164" i="16" s="1"/>
  <c r="A164" i="16"/>
  <c r="B163" i="16"/>
  <c r="AB163" i="16" s="1"/>
  <c r="A163" i="16"/>
  <c r="B162" i="16"/>
  <c r="AC162" i="16" s="1"/>
  <c r="A162" i="16"/>
  <c r="B161" i="16"/>
  <c r="A161" i="16"/>
  <c r="B160" i="16"/>
  <c r="AC160" i="16" s="1"/>
  <c r="A160" i="16"/>
  <c r="B159" i="16"/>
  <c r="AA159" i="16" s="1"/>
  <c r="A159" i="16"/>
  <c r="AE158" i="16"/>
  <c r="B158" i="16"/>
  <c r="AC158" i="16" s="1"/>
  <c r="A158" i="16"/>
  <c r="B157" i="16"/>
  <c r="AC157" i="16" s="1"/>
  <c r="A157" i="16"/>
  <c r="B156" i="16"/>
  <c r="Z156" i="16" s="1"/>
  <c r="A156" i="16"/>
  <c r="B155" i="16"/>
  <c r="A155" i="16"/>
  <c r="AE154" i="16"/>
  <c r="Y154" i="16"/>
  <c r="B154" i="16"/>
  <c r="AC154" i="16" s="1"/>
  <c r="A154" i="16"/>
  <c r="B153" i="16"/>
  <c r="AA153" i="16" s="1"/>
  <c r="A153" i="16"/>
  <c r="B152" i="16"/>
  <c r="AB152" i="16" s="1"/>
  <c r="A152" i="16"/>
  <c r="B151" i="16"/>
  <c r="Z151" i="16" s="1"/>
  <c r="A151" i="16"/>
  <c r="AC150" i="16"/>
  <c r="Y150" i="16"/>
  <c r="B150" i="16"/>
  <c r="AA150" i="16" s="1"/>
  <c r="A150" i="16"/>
  <c r="B149" i="16"/>
  <c r="AA149" i="16" s="1"/>
  <c r="A149" i="16"/>
  <c r="AE148" i="16"/>
  <c r="AD148" i="16"/>
  <c r="Y148" i="16"/>
  <c r="B148" i="16"/>
  <c r="AC148" i="16" s="1"/>
  <c r="A148" i="16"/>
  <c r="B147" i="16"/>
  <c r="AA147" i="16" s="1"/>
  <c r="A147" i="16"/>
  <c r="B146" i="16"/>
  <c r="AE146" i="16" s="1"/>
  <c r="A146" i="16"/>
  <c r="B145" i="16"/>
  <c r="AC145" i="16" s="1"/>
  <c r="A145" i="16"/>
  <c r="AE144" i="16"/>
  <c r="AD144" i="16"/>
  <c r="AC144" i="16"/>
  <c r="AB144" i="16"/>
  <c r="AA144" i="16"/>
  <c r="Z144" i="16"/>
  <c r="Y144" i="16"/>
  <c r="Z138" i="16"/>
  <c r="Y138" i="16"/>
  <c r="U138" i="16"/>
  <c r="B138" i="16"/>
  <c r="A138" i="16"/>
  <c r="Z137" i="16"/>
  <c r="Y137" i="16"/>
  <c r="X137" i="16"/>
  <c r="W137" i="16"/>
  <c r="V137" i="16"/>
  <c r="U137" i="16"/>
  <c r="S137" i="16"/>
  <c r="B137" i="16"/>
  <c r="T137" i="16" s="1"/>
  <c r="A137" i="16"/>
  <c r="Z136" i="16"/>
  <c r="Y136" i="16"/>
  <c r="X136" i="16"/>
  <c r="W136" i="16"/>
  <c r="V136" i="16"/>
  <c r="U136" i="16"/>
  <c r="T136" i="16"/>
  <c r="S136" i="16"/>
  <c r="B136" i="16"/>
  <c r="A136" i="16"/>
  <c r="U135" i="16"/>
  <c r="T135" i="16"/>
  <c r="S135" i="16"/>
  <c r="B135" i="16"/>
  <c r="A135" i="16"/>
  <c r="B134" i="16"/>
  <c r="A134" i="16"/>
  <c r="B133" i="16"/>
  <c r="A133" i="16"/>
  <c r="Z132" i="16"/>
  <c r="Y132" i="16"/>
  <c r="X132" i="16"/>
  <c r="W132" i="16"/>
  <c r="U132" i="16"/>
  <c r="B132" i="16"/>
  <c r="A132" i="16"/>
  <c r="Z131" i="16"/>
  <c r="Y131" i="16"/>
  <c r="X131" i="16"/>
  <c r="U131" i="16"/>
  <c r="B131" i="16"/>
  <c r="T131" i="16" s="1"/>
  <c r="A131" i="16"/>
  <c r="Y130" i="16"/>
  <c r="X130" i="16"/>
  <c r="W130" i="16"/>
  <c r="Z130" i="16" s="1"/>
  <c r="V130" i="16"/>
  <c r="U130" i="16"/>
  <c r="T130" i="16"/>
  <c r="B130" i="16"/>
  <c r="S130" i="16" s="1"/>
  <c r="A130" i="16"/>
  <c r="B129" i="16"/>
  <c r="X129" i="16" s="1"/>
  <c r="A129" i="16"/>
  <c r="B128" i="16"/>
  <c r="S128" i="16" s="1"/>
  <c r="A128" i="16"/>
  <c r="B127" i="16"/>
  <c r="W127" i="16" s="1"/>
  <c r="A127" i="16"/>
  <c r="X126" i="16"/>
  <c r="B126" i="16"/>
  <c r="U126" i="16" s="1"/>
  <c r="A126" i="16"/>
  <c r="B125" i="16"/>
  <c r="T125" i="16" s="1"/>
  <c r="A125" i="16"/>
  <c r="B124" i="16"/>
  <c r="Z124" i="16" s="1"/>
  <c r="A124" i="16"/>
  <c r="B123" i="16"/>
  <c r="W123" i="16" s="1"/>
  <c r="A123" i="16"/>
  <c r="W122" i="16"/>
  <c r="B122" i="16"/>
  <c r="S122" i="16" s="1"/>
  <c r="A122" i="16"/>
  <c r="B121" i="16"/>
  <c r="Y121" i="16" s="1"/>
  <c r="A121" i="16"/>
  <c r="Y120" i="16"/>
  <c r="U120" i="16"/>
  <c r="S120" i="16"/>
  <c r="B120" i="16"/>
  <c r="A120" i="16"/>
  <c r="B119" i="16"/>
  <c r="T119" i="16" s="1"/>
  <c r="A119" i="16"/>
  <c r="B118" i="16"/>
  <c r="W118" i="16" s="1"/>
  <c r="A118" i="16"/>
  <c r="B117" i="16"/>
  <c r="T117" i="16" s="1"/>
  <c r="A117" i="16"/>
  <c r="B116" i="16"/>
  <c r="T116" i="16" s="1"/>
  <c r="A116" i="16"/>
  <c r="B115" i="16"/>
  <c r="S115" i="16" s="1"/>
  <c r="A115" i="16"/>
  <c r="B114" i="16"/>
  <c r="W114" i="16" s="1"/>
  <c r="A114" i="16"/>
  <c r="Y113" i="16"/>
  <c r="V113" i="16"/>
  <c r="B113" i="16"/>
  <c r="T113" i="16" s="1"/>
  <c r="A113" i="16"/>
  <c r="Y112" i="16"/>
  <c r="X112" i="16"/>
  <c r="W112" i="16"/>
  <c r="V112" i="16"/>
  <c r="T112" i="16"/>
  <c r="S112" i="16"/>
  <c r="B112" i="16"/>
  <c r="U112" i="16" s="1"/>
  <c r="Z112" i="16" s="1"/>
  <c r="A112" i="16"/>
  <c r="B111" i="16"/>
  <c r="X111" i="16" s="1"/>
  <c r="A111" i="16"/>
  <c r="B110" i="16"/>
  <c r="Y110" i="16" s="1"/>
  <c r="A110" i="16"/>
  <c r="B109" i="16"/>
  <c r="A109" i="16"/>
  <c r="Y108" i="16"/>
  <c r="B108" i="16"/>
  <c r="S108" i="16" s="1"/>
  <c r="A108" i="16"/>
  <c r="Y107" i="16"/>
  <c r="X107" i="16"/>
  <c r="W107" i="16"/>
  <c r="V107" i="16"/>
  <c r="S107" i="16"/>
  <c r="B107" i="16"/>
  <c r="T107" i="16" s="1"/>
  <c r="A107" i="16"/>
  <c r="B106" i="16"/>
  <c r="Z106" i="16" s="1"/>
  <c r="A106" i="16"/>
  <c r="B105" i="16"/>
  <c r="X105" i="16" s="1"/>
  <c r="A105" i="16"/>
  <c r="W104" i="16"/>
  <c r="B104" i="16"/>
  <c r="T104" i="16" s="1"/>
  <c r="A104" i="16"/>
  <c r="B103" i="16"/>
  <c r="S103" i="16" s="1"/>
  <c r="A103" i="16"/>
  <c r="B102" i="16"/>
  <c r="A102" i="16"/>
  <c r="B101" i="16"/>
  <c r="T101" i="16" s="1"/>
  <c r="A101" i="16"/>
  <c r="B100" i="16"/>
  <c r="S100" i="16" s="1"/>
  <c r="Z100" i="16" s="1"/>
  <c r="A100" i="16"/>
  <c r="B99" i="16"/>
  <c r="T99" i="16" s="1"/>
  <c r="A99" i="16"/>
  <c r="Y98" i="16"/>
  <c r="X98" i="16"/>
  <c r="W98" i="16"/>
  <c r="V98" i="16"/>
  <c r="U98" i="16"/>
  <c r="T98" i="16"/>
  <c r="S98" i="16"/>
  <c r="AB92" i="16"/>
  <c r="Z92" i="16"/>
  <c r="B92" i="16"/>
  <c r="A92" i="16"/>
  <c r="AE91" i="16"/>
  <c r="AC91" i="16"/>
  <c r="AB91" i="16"/>
  <c r="AA91" i="16"/>
  <c r="Z91" i="16"/>
  <c r="B91" i="16"/>
  <c r="A91" i="16"/>
  <c r="AF90" i="16"/>
  <c r="AE90" i="16"/>
  <c r="AB90" i="16"/>
  <c r="AA90" i="16"/>
  <c r="Z90" i="16"/>
  <c r="B90" i="16"/>
  <c r="A90" i="16"/>
  <c r="B89" i="16"/>
  <c r="Y89" i="16" s="1"/>
  <c r="A89" i="16"/>
  <c r="AF88" i="16"/>
  <c r="AD88" i="16"/>
  <c r="B88" i="16"/>
  <c r="A88" i="16"/>
  <c r="B87" i="16"/>
  <c r="A87" i="16"/>
  <c r="AF86" i="16"/>
  <c r="AE86" i="16"/>
  <c r="AD86" i="16"/>
  <c r="Z86" i="16"/>
  <c r="B86" i="16"/>
  <c r="A86" i="16"/>
  <c r="B85" i="16"/>
  <c r="Y85" i="16" s="1"/>
  <c r="A85" i="16"/>
  <c r="B84" i="16"/>
  <c r="AD84" i="16" s="1"/>
  <c r="A84" i="16"/>
  <c r="B83" i="16"/>
  <c r="A83" i="16"/>
  <c r="B82" i="16"/>
  <c r="AD82" i="16" s="1"/>
  <c r="A82" i="16"/>
  <c r="B81" i="16"/>
  <c r="A81" i="16"/>
  <c r="B80" i="16"/>
  <c r="AE80" i="16" s="1"/>
  <c r="A80" i="16"/>
  <c r="AE79" i="16"/>
  <c r="AD79" i="16"/>
  <c r="Z79" i="16"/>
  <c r="B79" i="16"/>
  <c r="AA79" i="16" s="1"/>
  <c r="A79" i="16"/>
  <c r="B78" i="16"/>
  <c r="A78" i="16"/>
  <c r="B77" i="16"/>
  <c r="AE77" i="16" s="1"/>
  <c r="A77" i="16"/>
  <c r="B76" i="16"/>
  <c r="Z76" i="16" s="1"/>
  <c r="A76" i="16"/>
  <c r="B75" i="16"/>
  <c r="Y75" i="16" s="1"/>
  <c r="A75" i="16"/>
  <c r="AE74" i="16"/>
  <c r="AB74" i="16"/>
  <c r="B74" i="16"/>
  <c r="AC74" i="16" s="1"/>
  <c r="A74" i="16"/>
  <c r="B73" i="16"/>
  <c r="AA73" i="16" s="1"/>
  <c r="A73" i="16"/>
  <c r="AB72" i="16"/>
  <c r="AA72" i="16"/>
  <c r="Z72" i="16"/>
  <c r="B72" i="16"/>
  <c r="Y72" i="16" s="1"/>
  <c r="A72" i="16"/>
  <c r="B71" i="16"/>
  <c r="AB71" i="16" s="1"/>
  <c r="A71" i="16"/>
  <c r="B70" i="16"/>
  <c r="A70" i="16"/>
  <c r="B69" i="16"/>
  <c r="Y69" i="16" s="1"/>
  <c r="A69" i="16"/>
  <c r="B68" i="16"/>
  <c r="AD68" i="16" s="1"/>
  <c r="A68" i="16"/>
  <c r="B67" i="16"/>
  <c r="Y67" i="16" s="1"/>
  <c r="A67" i="16"/>
  <c r="B66" i="16"/>
  <c r="AB66" i="16" s="1"/>
  <c r="A66" i="16"/>
  <c r="AA65" i="16"/>
  <c r="B65" i="16"/>
  <c r="Z65" i="16" s="1"/>
  <c r="A65" i="16"/>
  <c r="B64" i="16"/>
  <c r="Y64" i="16" s="1"/>
  <c r="A64" i="16"/>
  <c r="B63" i="16"/>
  <c r="Z63" i="16" s="1"/>
  <c r="A63" i="16"/>
  <c r="B62" i="16"/>
  <c r="A62" i="16"/>
  <c r="B61" i="16"/>
  <c r="AE61" i="16" s="1"/>
  <c r="A61" i="16"/>
  <c r="B60" i="16"/>
  <c r="AE60" i="16" s="1"/>
  <c r="A60" i="16"/>
  <c r="B59" i="16"/>
  <c r="Y59" i="16" s="1"/>
  <c r="A59" i="16"/>
  <c r="B58" i="16"/>
  <c r="A58" i="16"/>
  <c r="B57" i="16"/>
  <c r="AA57" i="16" s="1"/>
  <c r="A57" i="16"/>
  <c r="B56" i="16"/>
  <c r="AB56" i="16" s="1"/>
  <c r="A56" i="16"/>
  <c r="B55" i="16"/>
  <c r="A55" i="16"/>
  <c r="AC54" i="16"/>
  <c r="B54" i="16"/>
  <c r="Y54" i="16" s="1"/>
  <c r="A54" i="16"/>
  <c r="AD53" i="16"/>
  <c r="AC53" i="16"/>
  <c r="AB53" i="16"/>
  <c r="AF53" i="16" s="1"/>
  <c r="AA53" i="16"/>
  <c r="Z53" i="16"/>
  <c r="Y53" i="16"/>
  <c r="B53" i="16"/>
  <c r="AE53" i="16" s="1"/>
  <c r="A53" i="16"/>
  <c r="AE52" i="16"/>
  <c r="AD52" i="16"/>
  <c r="AC52" i="16"/>
  <c r="AB52" i="16"/>
  <c r="AA52" i="16"/>
  <c r="Z52" i="16"/>
  <c r="Y52" i="16"/>
  <c r="H17" i="16"/>
  <c r="F17" i="16"/>
  <c r="F16" i="16"/>
  <c r="F15" i="16"/>
  <c r="H14" i="16"/>
  <c r="F14" i="16"/>
  <c r="F13" i="16"/>
  <c r="F12" i="16"/>
  <c r="H11" i="16"/>
  <c r="F11" i="16"/>
  <c r="E7" i="16"/>
  <c r="D7" i="16"/>
  <c r="C7" i="16"/>
  <c r="B7" i="16"/>
  <c r="A7" i="16"/>
  <c r="A5" i="16"/>
  <c r="H15" i="11" s="1"/>
  <c r="J2" i="16"/>
  <c r="H2" i="16"/>
  <c r="F2" i="16"/>
  <c r="D2" i="16"/>
  <c r="B2" i="16"/>
  <c r="A1" i="16"/>
  <c r="W230" i="15"/>
  <c r="V230" i="15"/>
  <c r="U230" i="15"/>
  <c r="Q230" i="15"/>
  <c r="P230" i="15"/>
  <c r="B230" i="15"/>
  <c r="A230" i="15"/>
  <c r="B229" i="15"/>
  <c r="A229" i="15"/>
  <c r="W228" i="15"/>
  <c r="V228" i="15"/>
  <c r="U228" i="15"/>
  <c r="T228" i="15"/>
  <c r="S228" i="15"/>
  <c r="R228" i="15"/>
  <c r="Q228" i="15"/>
  <c r="B228" i="15"/>
  <c r="P228" i="15" s="1"/>
  <c r="A228" i="15"/>
  <c r="W227" i="15"/>
  <c r="V227" i="15"/>
  <c r="T227" i="15"/>
  <c r="S227" i="15"/>
  <c r="Q227" i="15"/>
  <c r="B227" i="15"/>
  <c r="U227" i="15" s="1"/>
  <c r="A227" i="15"/>
  <c r="V226" i="15"/>
  <c r="U226" i="15"/>
  <c r="T226" i="15"/>
  <c r="S226" i="15"/>
  <c r="Q226" i="15"/>
  <c r="P226" i="15"/>
  <c r="B226" i="15"/>
  <c r="W226" i="15" s="1"/>
  <c r="A226" i="15"/>
  <c r="S225" i="15"/>
  <c r="R225" i="15"/>
  <c r="B225" i="15"/>
  <c r="A225" i="15"/>
  <c r="B224" i="15"/>
  <c r="A224" i="15"/>
  <c r="B223" i="15"/>
  <c r="S223" i="15" s="1"/>
  <c r="A223" i="15"/>
  <c r="V222" i="15"/>
  <c r="U222" i="15"/>
  <c r="T222" i="15"/>
  <c r="S222" i="15"/>
  <c r="B222" i="15"/>
  <c r="P222" i="15" s="1"/>
  <c r="A222" i="15"/>
  <c r="B221" i="15"/>
  <c r="U221" i="15" s="1"/>
  <c r="A221" i="15"/>
  <c r="B220" i="15"/>
  <c r="T220" i="15" s="1"/>
  <c r="A220" i="15"/>
  <c r="B219" i="15"/>
  <c r="S219" i="15" s="1"/>
  <c r="A219" i="15"/>
  <c r="B218" i="15"/>
  <c r="Q218" i="15" s="1"/>
  <c r="A218" i="15"/>
  <c r="B217" i="15"/>
  <c r="A217" i="15"/>
  <c r="B216" i="15"/>
  <c r="R216" i="15" s="1"/>
  <c r="A216" i="15"/>
  <c r="B215" i="15"/>
  <c r="A215" i="15"/>
  <c r="B214" i="15"/>
  <c r="S214" i="15" s="1"/>
  <c r="A214" i="15"/>
  <c r="R213" i="15"/>
  <c r="B213" i="15"/>
  <c r="A213" i="15"/>
  <c r="B212" i="15"/>
  <c r="V212" i="15" s="1"/>
  <c r="A212" i="15"/>
  <c r="B211" i="15"/>
  <c r="A211" i="15"/>
  <c r="B210" i="15"/>
  <c r="P210" i="15" s="1"/>
  <c r="A210" i="15"/>
  <c r="Q209" i="15"/>
  <c r="B209" i="15"/>
  <c r="A209" i="15"/>
  <c r="B208" i="15"/>
  <c r="Q208" i="15" s="1"/>
  <c r="A208" i="15"/>
  <c r="B207" i="15"/>
  <c r="Q207" i="15" s="1"/>
  <c r="A207" i="15"/>
  <c r="B206" i="15"/>
  <c r="R206" i="15" s="1"/>
  <c r="A206" i="15"/>
  <c r="B205" i="15"/>
  <c r="U205" i="15" s="1"/>
  <c r="A205" i="15"/>
  <c r="B204" i="15"/>
  <c r="A204" i="15"/>
  <c r="B203" i="15"/>
  <c r="Q203" i="15" s="1"/>
  <c r="A203" i="15"/>
  <c r="B202" i="15"/>
  <c r="U202" i="15" s="1"/>
  <c r="A202" i="15"/>
  <c r="B201" i="15"/>
  <c r="P201" i="15" s="1"/>
  <c r="A201" i="15"/>
  <c r="B200" i="15"/>
  <c r="R200" i="15" s="1"/>
  <c r="A200" i="15"/>
  <c r="B199" i="15"/>
  <c r="V199" i="15" s="1"/>
  <c r="A199" i="15"/>
  <c r="B198" i="15"/>
  <c r="A198" i="15"/>
  <c r="B197" i="15"/>
  <c r="R197" i="15" s="1"/>
  <c r="A197" i="15"/>
  <c r="B196" i="15"/>
  <c r="V196" i="15" s="1"/>
  <c r="A196" i="15"/>
  <c r="B195" i="15"/>
  <c r="T195" i="15" s="1"/>
  <c r="A195" i="15"/>
  <c r="B194" i="15"/>
  <c r="V194" i="15" s="1"/>
  <c r="A194" i="15"/>
  <c r="B193" i="15"/>
  <c r="P193" i="15" s="1"/>
  <c r="A193" i="15"/>
  <c r="B192" i="15"/>
  <c r="P192" i="15" s="1"/>
  <c r="A192" i="15"/>
  <c r="B191" i="15"/>
  <c r="U191" i="15" s="1"/>
  <c r="A191" i="15"/>
  <c r="V190" i="15"/>
  <c r="U190" i="15"/>
  <c r="T190" i="15"/>
  <c r="S190" i="15"/>
  <c r="R190" i="15"/>
  <c r="Q190" i="15"/>
  <c r="P190" i="15"/>
  <c r="AE184" i="15"/>
  <c r="Z184" i="15"/>
  <c r="B184" i="15"/>
  <c r="A184" i="15"/>
  <c r="AF183" i="15"/>
  <c r="AD183" i="15"/>
  <c r="AC183" i="15"/>
  <c r="AA183" i="15"/>
  <c r="B183" i="15"/>
  <c r="A183" i="15"/>
  <c r="AF182" i="15"/>
  <c r="AE182" i="15"/>
  <c r="AD182" i="15"/>
  <c r="AC182" i="15"/>
  <c r="AB182" i="15"/>
  <c r="AA182" i="15"/>
  <c r="Z182" i="15"/>
  <c r="Y182" i="15"/>
  <c r="B182" i="15"/>
  <c r="A182" i="15"/>
  <c r="AD181" i="15"/>
  <c r="AC181" i="15"/>
  <c r="AB181" i="15"/>
  <c r="AA181" i="15"/>
  <c r="Z181" i="15"/>
  <c r="B181" i="15"/>
  <c r="A181" i="15"/>
  <c r="AC180" i="15"/>
  <c r="Y180" i="15"/>
  <c r="B180" i="15"/>
  <c r="A180" i="15"/>
  <c r="AF179" i="15"/>
  <c r="AB179" i="15"/>
  <c r="AA179" i="15"/>
  <c r="Y179" i="15"/>
  <c r="B179" i="15"/>
  <c r="A179" i="15"/>
  <c r="B178" i="15"/>
  <c r="A178" i="15"/>
  <c r="B177" i="15"/>
  <c r="AE177" i="15" s="1"/>
  <c r="A177" i="15"/>
  <c r="AE176" i="15"/>
  <c r="B176" i="15"/>
  <c r="Y176" i="15" s="1"/>
  <c r="A176" i="15"/>
  <c r="B175" i="15"/>
  <c r="A175" i="15"/>
  <c r="B174" i="15"/>
  <c r="AC174" i="15" s="1"/>
  <c r="A174" i="15"/>
  <c r="B173" i="15"/>
  <c r="AE173" i="15" s="1"/>
  <c r="A173" i="15"/>
  <c r="B172" i="15"/>
  <c r="AC172" i="15" s="1"/>
  <c r="A172" i="15"/>
  <c r="B171" i="15"/>
  <c r="A171" i="15"/>
  <c r="AE170" i="15"/>
  <c r="AD170" i="15"/>
  <c r="AC170" i="15"/>
  <c r="AB170" i="15"/>
  <c r="AA170" i="15"/>
  <c r="B170" i="15"/>
  <c r="Z170" i="15" s="1"/>
  <c r="A170" i="15"/>
  <c r="B169" i="15"/>
  <c r="AE169" i="15" s="1"/>
  <c r="A169" i="15"/>
  <c r="B168" i="15"/>
  <c r="AD168" i="15" s="1"/>
  <c r="A168" i="15"/>
  <c r="B167" i="15"/>
  <c r="A167" i="15"/>
  <c r="B166" i="15"/>
  <c r="AE166" i="15" s="1"/>
  <c r="A166" i="15"/>
  <c r="B165" i="15"/>
  <c r="AD165" i="15" s="1"/>
  <c r="A165" i="15"/>
  <c r="B164" i="15"/>
  <c r="AA164" i="15" s="1"/>
  <c r="A164" i="15"/>
  <c r="B163" i="15"/>
  <c r="AA163" i="15" s="1"/>
  <c r="A163" i="15"/>
  <c r="B162" i="15"/>
  <c r="Y162" i="15" s="1"/>
  <c r="A162" i="15"/>
  <c r="B161" i="15"/>
  <c r="A161" i="15"/>
  <c r="B160" i="15"/>
  <c r="A160" i="15"/>
  <c r="AE159" i="15"/>
  <c r="B159" i="15"/>
  <c r="AB159" i="15" s="1"/>
  <c r="A159" i="15"/>
  <c r="B158" i="15"/>
  <c r="A158" i="15"/>
  <c r="B157" i="15"/>
  <c r="AC157" i="15" s="1"/>
  <c r="A157" i="15"/>
  <c r="AE156" i="15"/>
  <c r="AD156" i="15"/>
  <c r="AC156" i="15"/>
  <c r="AB156" i="15"/>
  <c r="B156" i="15"/>
  <c r="AA156" i="15" s="1"/>
  <c r="A156" i="15"/>
  <c r="B155" i="15"/>
  <c r="AB155" i="15" s="1"/>
  <c r="A155" i="15"/>
  <c r="B154" i="15"/>
  <c r="AA154" i="15" s="1"/>
  <c r="A154" i="15"/>
  <c r="B153" i="15"/>
  <c r="A153" i="15"/>
  <c r="B152" i="15"/>
  <c r="A152" i="15"/>
  <c r="B151" i="15"/>
  <c r="AC151" i="15" s="1"/>
  <c r="A151" i="15"/>
  <c r="AE150" i="15"/>
  <c r="B150" i="15"/>
  <c r="AA150" i="15" s="1"/>
  <c r="A150" i="15"/>
  <c r="B149" i="15"/>
  <c r="A149" i="15"/>
  <c r="B148" i="15"/>
  <c r="Z148" i="15" s="1"/>
  <c r="A148" i="15"/>
  <c r="B147" i="15"/>
  <c r="A147" i="15"/>
  <c r="B146" i="15"/>
  <c r="AD146" i="15" s="1"/>
  <c r="A146" i="15"/>
  <c r="B145" i="15"/>
  <c r="AC145" i="15" s="1"/>
  <c r="A145" i="15"/>
  <c r="AE144" i="15"/>
  <c r="AD144" i="15"/>
  <c r="AC144" i="15"/>
  <c r="AB144" i="15"/>
  <c r="AA144" i="15"/>
  <c r="Z144" i="15"/>
  <c r="Y144" i="15"/>
  <c r="B138" i="15"/>
  <c r="U138" i="15" s="1"/>
  <c r="A138" i="15"/>
  <c r="Y137" i="15"/>
  <c r="X137" i="15"/>
  <c r="S137" i="15"/>
  <c r="B137" i="15"/>
  <c r="A137" i="15"/>
  <c r="Z136" i="15"/>
  <c r="Y136" i="15"/>
  <c r="W136" i="15"/>
  <c r="V136" i="15"/>
  <c r="T136" i="15"/>
  <c r="B136" i="15"/>
  <c r="X136" i="15" s="1"/>
  <c r="A136" i="15"/>
  <c r="U135" i="15"/>
  <c r="B135" i="15"/>
  <c r="A135" i="15"/>
  <c r="Y134" i="15"/>
  <c r="X134" i="15"/>
  <c r="V134" i="15"/>
  <c r="U134" i="15"/>
  <c r="B134" i="15"/>
  <c r="A134" i="15"/>
  <c r="Z133" i="15"/>
  <c r="Y133" i="15"/>
  <c r="X133" i="15"/>
  <c r="W133" i="15"/>
  <c r="V133" i="15"/>
  <c r="U133" i="15"/>
  <c r="T133" i="15"/>
  <c r="S133" i="15"/>
  <c r="B133" i="15"/>
  <c r="A133" i="15"/>
  <c r="U132" i="15"/>
  <c r="T132" i="15"/>
  <c r="S132" i="15"/>
  <c r="B132" i="15"/>
  <c r="A132" i="15"/>
  <c r="B131" i="15"/>
  <c r="A131" i="15"/>
  <c r="Y130" i="15"/>
  <c r="B130" i="15"/>
  <c r="X130" i="15" s="1"/>
  <c r="A130" i="15"/>
  <c r="B129" i="15"/>
  <c r="A129" i="15"/>
  <c r="B128" i="15"/>
  <c r="X128" i="15" s="1"/>
  <c r="A128" i="15"/>
  <c r="B127" i="15"/>
  <c r="A127" i="15"/>
  <c r="B126" i="15"/>
  <c r="A126" i="15"/>
  <c r="B125" i="15"/>
  <c r="Y125" i="15" s="1"/>
  <c r="A125" i="15"/>
  <c r="B124" i="15"/>
  <c r="V124" i="15" s="1"/>
  <c r="A124" i="15"/>
  <c r="B123" i="15"/>
  <c r="A123" i="15"/>
  <c r="Y122" i="15"/>
  <c r="X122" i="15"/>
  <c r="W122" i="15"/>
  <c r="B122" i="15"/>
  <c r="V122" i="15" s="1"/>
  <c r="A122" i="15"/>
  <c r="B121" i="15"/>
  <c r="S121" i="15" s="1"/>
  <c r="A121" i="15"/>
  <c r="B120" i="15"/>
  <c r="X120" i="15" s="1"/>
  <c r="A120" i="15"/>
  <c r="B119" i="15"/>
  <c r="Y119" i="15" s="1"/>
  <c r="A119" i="15"/>
  <c r="Y118" i="15"/>
  <c r="B118" i="15"/>
  <c r="X118" i="15" s="1"/>
  <c r="A118" i="15"/>
  <c r="B117" i="15"/>
  <c r="Y117" i="15" s="1"/>
  <c r="A117" i="15"/>
  <c r="B116" i="15"/>
  <c r="A116" i="15"/>
  <c r="B115" i="15"/>
  <c r="X115" i="15" s="1"/>
  <c r="A115" i="15"/>
  <c r="B114" i="15"/>
  <c r="S114" i="15" s="1"/>
  <c r="A114" i="15"/>
  <c r="B113" i="15"/>
  <c r="X113" i="15" s="1"/>
  <c r="A113" i="15"/>
  <c r="Y112" i="15"/>
  <c r="W112" i="15"/>
  <c r="V112" i="15"/>
  <c r="B112" i="15"/>
  <c r="X112" i="15" s="1"/>
  <c r="A112" i="15"/>
  <c r="B111" i="15"/>
  <c r="U111" i="15" s="1"/>
  <c r="A111" i="15"/>
  <c r="B110" i="15"/>
  <c r="S110" i="15" s="1"/>
  <c r="A110" i="15"/>
  <c r="B109" i="15"/>
  <c r="A109" i="15"/>
  <c r="X108" i="15"/>
  <c r="U108" i="15"/>
  <c r="T108" i="15"/>
  <c r="B108" i="15"/>
  <c r="A108" i="15"/>
  <c r="B107" i="15"/>
  <c r="S107" i="15" s="1"/>
  <c r="A107" i="15"/>
  <c r="B106" i="15"/>
  <c r="X106" i="15" s="1"/>
  <c r="A106" i="15"/>
  <c r="B105" i="15"/>
  <c r="A105" i="15"/>
  <c r="B104" i="15"/>
  <c r="A104" i="15"/>
  <c r="B103" i="15"/>
  <c r="V103" i="15" s="1"/>
  <c r="A103" i="15"/>
  <c r="B102" i="15"/>
  <c r="X102" i="15" s="1"/>
  <c r="A102" i="15"/>
  <c r="B101" i="15"/>
  <c r="X101" i="15" s="1"/>
  <c r="A101" i="15"/>
  <c r="B100" i="15"/>
  <c r="T100" i="15" s="1"/>
  <c r="A100" i="15"/>
  <c r="B99" i="15"/>
  <c r="T99" i="15" s="1"/>
  <c r="A99" i="15"/>
  <c r="Y98" i="15"/>
  <c r="X98" i="15"/>
  <c r="W98" i="15"/>
  <c r="V98" i="15"/>
  <c r="U98" i="15"/>
  <c r="T98" i="15"/>
  <c r="S98" i="15"/>
  <c r="AE92" i="15"/>
  <c r="Z92" i="15"/>
  <c r="B92" i="15"/>
  <c r="A92" i="15"/>
  <c r="AD91" i="15"/>
  <c r="AC91" i="15"/>
  <c r="B91" i="15"/>
  <c r="A91" i="15"/>
  <c r="AF90" i="15"/>
  <c r="AE90" i="15"/>
  <c r="AD90" i="15"/>
  <c r="AB90" i="15"/>
  <c r="AA90" i="15"/>
  <c r="Y90" i="15"/>
  <c r="B90" i="15"/>
  <c r="AC90" i="15" s="1"/>
  <c r="A90" i="15"/>
  <c r="AF89" i="15"/>
  <c r="AE89" i="15"/>
  <c r="AD89" i="15"/>
  <c r="AC89" i="15"/>
  <c r="AB89" i="15"/>
  <c r="Z89" i="15"/>
  <c r="Y89" i="15"/>
  <c r="B89" i="15"/>
  <c r="AA89" i="15" s="1"/>
  <c r="A89" i="15"/>
  <c r="AD88" i="15"/>
  <c r="AB88" i="15"/>
  <c r="AA88" i="15"/>
  <c r="B88" i="15"/>
  <c r="A88" i="15"/>
  <c r="AE87" i="15"/>
  <c r="AB87" i="15"/>
  <c r="AA87" i="15"/>
  <c r="B87" i="15"/>
  <c r="A87" i="15"/>
  <c r="A86" i="15"/>
  <c r="B85" i="15"/>
  <c r="AC85" i="15" s="1"/>
  <c r="A85" i="15"/>
  <c r="B84" i="15"/>
  <c r="AB84" i="15" s="1"/>
  <c r="A84" i="15"/>
  <c r="B83" i="15"/>
  <c r="A83" i="15"/>
  <c r="B82" i="15"/>
  <c r="AA82" i="15" s="1"/>
  <c r="A82" i="15"/>
  <c r="B81" i="15"/>
  <c r="Y81" i="15" s="1"/>
  <c r="A81" i="15"/>
  <c r="B80" i="15"/>
  <c r="A80" i="15"/>
  <c r="B79" i="15"/>
  <c r="A79" i="15"/>
  <c r="B78" i="15"/>
  <c r="A78" i="15"/>
  <c r="B77" i="15"/>
  <c r="AA77" i="15" s="1"/>
  <c r="A77" i="15"/>
  <c r="B76" i="15"/>
  <c r="Z76" i="15" s="1"/>
  <c r="A76" i="15"/>
  <c r="AE75" i="15"/>
  <c r="AB75" i="15"/>
  <c r="AA75" i="15"/>
  <c r="B75" i="15"/>
  <c r="Z75" i="15" s="1"/>
  <c r="A75" i="15"/>
  <c r="B74" i="15"/>
  <c r="Z74" i="15" s="1"/>
  <c r="A74" i="15"/>
  <c r="B73" i="15"/>
  <c r="AC73" i="15" s="1"/>
  <c r="A73" i="15"/>
  <c r="B72" i="15"/>
  <c r="AC72" i="15" s="1"/>
  <c r="A72" i="15"/>
  <c r="B71" i="15"/>
  <c r="AA71" i="15" s="1"/>
  <c r="A71" i="15"/>
  <c r="B70" i="15"/>
  <c r="AA70" i="15" s="1"/>
  <c r="A70" i="15"/>
  <c r="B69" i="15"/>
  <c r="AA69" i="15" s="1"/>
  <c r="A69" i="15"/>
  <c r="B68" i="15"/>
  <c r="A68" i="15"/>
  <c r="B67" i="15"/>
  <c r="AA67" i="15" s="1"/>
  <c r="A67" i="15"/>
  <c r="B66" i="15"/>
  <c r="AC66" i="15" s="1"/>
  <c r="A66" i="15"/>
  <c r="AE65" i="15"/>
  <c r="AD65" i="15"/>
  <c r="B65" i="15"/>
  <c r="AA65" i="15" s="1"/>
  <c r="A65" i="15"/>
  <c r="B64" i="15"/>
  <c r="A64" i="15"/>
  <c r="B63" i="15"/>
  <c r="Y63" i="15" s="1"/>
  <c r="A63" i="15"/>
  <c r="B62" i="15"/>
  <c r="AE62" i="15" s="1"/>
  <c r="A62" i="15"/>
  <c r="B61" i="15"/>
  <c r="A61" i="15"/>
  <c r="B60" i="15"/>
  <c r="AC60" i="15" s="1"/>
  <c r="A60" i="15"/>
  <c r="B59" i="15"/>
  <c r="AB59" i="15" s="1"/>
  <c r="A59" i="15"/>
  <c r="B58" i="15"/>
  <c r="Z58" i="15" s="1"/>
  <c r="A58" i="15"/>
  <c r="B57" i="15"/>
  <c r="Z57" i="15" s="1"/>
  <c r="A57" i="15"/>
  <c r="B56" i="15"/>
  <c r="Z56" i="15" s="1"/>
  <c r="A56" i="15"/>
  <c r="B55" i="15"/>
  <c r="AD55" i="15" s="1"/>
  <c r="A55" i="15"/>
  <c r="AE54" i="15"/>
  <c r="B54" i="15"/>
  <c r="AC54" i="15" s="1"/>
  <c r="A54" i="15"/>
  <c r="B53" i="15"/>
  <c r="Y53" i="15" s="1"/>
  <c r="A53" i="15"/>
  <c r="AE52" i="15"/>
  <c r="AD52" i="15"/>
  <c r="AC52" i="15"/>
  <c r="AB52" i="15"/>
  <c r="AA52" i="15"/>
  <c r="Z52" i="15"/>
  <c r="Y52" i="15"/>
  <c r="J17" i="15"/>
  <c r="I17" i="15"/>
  <c r="H17" i="15"/>
  <c r="G17" i="15"/>
  <c r="F17" i="15"/>
  <c r="J16" i="15"/>
  <c r="I16" i="15"/>
  <c r="H16" i="15"/>
  <c r="G16" i="15"/>
  <c r="F16" i="15"/>
  <c r="J15" i="15"/>
  <c r="I15" i="15"/>
  <c r="H15" i="15"/>
  <c r="G15" i="15"/>
  <c r="K15" i="15" s="1"/>
  <c r="F15" i="15"/>
  <c r="J14" i="15"/>
  <c r="I14" i="15"/>
  <c r="H14" i="15"/>
  <c r="G14" i="15"/>
  <c r="F14" i="15"/>
  <c r="J13" i="15"/>
  <c r="I13" i="15"/>
  <c r="H13" i="15"/>
  <c r="G13" i="15"/>
  <c r="F13" i="15"/>
  <c r="J12" i="15"/>
  <c r="I12" i="15"/>
  <c r="H12" i="15"/>
  <c r="G12" i="15"/>
  <c r="F12" i="15"/>
  <c r="J11" i="15"/>
  <c r="I11" i="15"/>
  <c r="H11" i="15"/>
  <c r="G11" i="15"/>
  <c r="F11" i="15"/>
  <c r="E7" i="15"/>
  <c r="D7" i="15"/>
  <c r="C7" i="15"/>
  <c r="B7" i="15"/>
  <c r="A7" i="15"/>
  <c r="A5" i="15"/>
  <c r="H14" i="11" s="1"/>
  <c r="J2" i="15"/>
  <c r="H2" i="15"/>
  <c r="F2" i="15"/>
  <c r="D2" i="15"/>
  <c r="B2" i="15"/>
  <c r="A1" i="15"/>
  <c r="W230" i="14"/>
  <c r="U230" i="14"/>
  <c r="T230" i="14"/>
  <c r="R230" i="14"/>
  <c r="B230" i="14"/>
  <c r="A230" i="14"/>
  <c r="W229" i="14"/>
  <c r="V229" i="14"/>
  <c r="U229" i="14"/>
  <c r="S229" i="14"/>
  <c r="R229" i="14"/>
  <c r="P229" i="14"/>
  <c r="B229" i="14"/>
  <c r="T229" i="14" s="1"/>
  <c r="A229" i="14"/>
  <c r="W228" i="14"/>
  <c r="V228" i="14"/>
  <c r="U228" i="14"/>
  <c r="T228" i="14"/>
  <c r="S228" i="14"/>
  <c r="Q228" i="14"/>
  <c r="P228" i="14"/>
  <c r="B228" i="14"/>
  <c r="R228" i="14" s="1"/>
  <c r="A228" i="14"/>
  <c r="U227" i="14"/>
  <c r="T227" i="14"/>
  <c r="S227" i="14"/>
  <c r="R227" i="14"/>
  <c r="Q227" i="14"/>
  <c r="B227" i="14"/>
  <c r="A227" i="14"/>
  <c r="B226" i="14"/>
  <c r="A226" i="14"/>
  <c r="V225" i="14"/>
  <c r="T225" i="14"/>
  <c r="B225" i="14"/>
  <c r="W225" i="14" s="1"/>
  <c r="A225" i="14"/>
  <c r="T224" i="14"/>
  <c r="R224" i="14"/>
  <c r="B224" i="14"/>
  <c r="A224" i="14"/>
  <c r="B223" i="14"/>
  <c r="T223" i="14" s="1"/>
  <c r="A223" i="14"/>
  <c r="V222" i="14"/>
  <c r="B222" i="14"/>
  <c r="R222" i="14" s="1"/>
  <c r="A222" i="14"/>
  <c r="B221" i="14"/>
  <c r="R221" i="14" s="1"/>
  <c r="A221" i="14"/>
  <c r="V220" i="14"/>
  <c r="S220" i="14"/>
  <c r="B220" i="14"/>
  <c r="R220" i="14" s="1"/>
  <c r="A220" i="14"/>
  <c r="B219" i="14"/>
  <c r="V219" i="14" s="1"/>
  <c r="A219" i="14"/>
  <c r="B218" i="14"/>
  <c r="U218" i="14" s="1"/>
  <c r="A218" i="14"/>
  <c r="U217" i="14"/>
  <c r="B217" i="14"/>
  <c r="T217" i="14" s="1"/>
  <c r="A217" i="14"/>
  <c r="B216" i="14"/>
  <c r="R216" i="14" s="1"/>
  <c r="A216" i="14"/>
  <c r="U215" i="14"/>
  <c r="B215" i="14"/>
  <c r="S215" i="14" s="1"/>
  <c r="A215" i="14"/>
  <c r="B214" i="14"/>
  <c r="A214" i="14"/>
  <c r="B213" i="14"/>
  <c r="A213" i="14"/>
  <c r="B212" i="14"/>
  <c r="U212" i="14" s="1"/>
  <c r="A212" i="14"/>
  <c r="V211" i="14"/>
  <c r="U211" i="14"/>
  <c r="B211" i="14"/>
  <c r="T211" i="14" s="1"/>
  <c r="A211" i="14"/>
  <c r="B210" i="14"/>
  <c r="V210" i="14" s="1"/>
  <c r="A210" i="14"/>
  <c r="T209" i="14"/>
  <c r="R209" i="14"/>
  <c r="Q209" i="14"/>
  <c r="B209" i="14"/>
  <c r="U209" i="14" s="1"/>
  <c r="A209" i="14"/>
  <c r="B208" i="14"/>
  <c r="A208" i="14"/>
  <c r="B207" i="14"/>
  <c r="A207" i="14"/>
  <c r="B206" i="14"/>
  <c r="T206" i="14" s="1"/>
  <c r="A206" i="14"/>
  <c r="B205" i="14"/>
  <c r="A205" i="14"/>
  <c r="B204" i="14"/>
  <c r="A204" i="14"/>
  <c r="B203" i="14"/>
  <c r="R203" i="14" s="1"/>
  <c r="A203" i="14"/>
  <c r="R202" i="14"/>
  <c r="B202" i="14"/>
  <c r="V202" i="14" s="1"/>
  <c r="A202" i="14"/>
  <c r="B201" i="14"/>
  <c r="Q201" i="14" s="1"/>
  <c r="A201" i="14"/>
  <c r="B200" i="14"/>
  <c r="U200" i="14" s="1"/>
  <c r="A200" i="14"/>
  <c r="B199" i="14"/>
  <c r="T199" i="14" s="1"/>
  <c r="A199" i="14"/>
  <c r="B198" i="14"/>
  <c r="Q198" i="14" s="1"/>
  <c r="A198" i="14"/>
  <c r="B197" i="14"/>
  <c r="A197" i="14"/>
  <c r="S196" i="14"/>
  <c r="R196" i="14"/>
  <c r="B196" i="14"/>
  <c r="T196" i="14" s="1"/>
  <c r="A196" i="14"/>
  <c r="B195" i="14"/>
  <c r="T195" i="14" s="1"/>
  <c r="A195" i="14"/>
  <c r="B194" i="14"/>
  <c r="T194" i="14" s="1"/>
  <c r="A194" i="14"/>
  <c r="B193" i="14"/>
  <c r="A193" i="14"/>
  <c r="B192" i="14"/>
  <c r="R192" i="14" s="1"/>
  <c r="A192" i="14"/>
  <c r="B191" i="14"/>
  <c r="A191" i="14"/>
  <c r="V190" i="14"/>
  <c r="U190" i="14"/>
  <c r="T190" i="14"/>
  <c r="S190" i="14"/>
  <c r="R190" i="14"/>
  <c r="Q190" i="14"/>
  <c r="P190" i="14"/>
  <c r="AB184" i="14"/>
  <c r="Z184" i="14"/>
  <c r="B184" i="14"/>
  <c r="A184" i="14"/>
  <c r="AF183" i="14"/>
  <c r="AE183" i="14"/>
  <c r="AC183" i="14"/>
  <c r="AA183" i="14"/>
  <c r="B183" i="14"/>
  <c r="A183" i="14"/>
  <c r="AF182" i="14"/>
  <c r="AE182" i="14"/>
  <c r="AD182" i="14"/>
  <c r="AB182" i="14"/>
  <c r="AA182" i="14"/>
  <c r="B182" i="14"/>
  <c r="Z182" i="14" s="1"/>
  <c r="A182" i="14"/>
  <c r="AF181" i="14"/>
  <c r="AE181" i="14"/>
  <c r="AD181" i="14"/>
  <c r="AC181" i="14"/>
  <c r="AB181" i="14"/>
  <c r="AA181" i="14"/>
  <c r="Z181" i="14"/>
  <c r="Y181" i="14"/>
  <c r="B181" i="14"/>
  <c r="A181" i="14"/>
  <c r="B180" i="14"/>
  <c r="Y180" i="14" s="1"/>
  <c r="A180" i="14"/>
  <c r="AD179" i="14"/>
  <c r="AB179" i="14"/>
  <c r="B179" i="14"/>
  <c r="AE179" i="14" s="1"/>
  <c r="A179" i="14"/>
  <c r="AC178" i="14"/>
  <c r="AB178" i="14"/>
  <c r="Z178" i="14"/>
  <c r="B178" i="14"/>
  <c r="A178" i="14"/>
  <c r="B177" i="14"/>
  <c r="AD177" i="14" s="1"/>
  <c r="A177" i="14"/>
  <c r="AE176" i="14"/>
  <c r="AC176" i="14"/>
  <c r="B176" i="14"/>
  <c r="Z176" i="14" s="1"/>
  <c r="A176" i="14"/>
  <c r="AE175" i="14"/>
  <c r="AD175" i="14"/>
  <c r="AC175" i="14"/>
  <c r="B175" i="14"/>
  <c r="A175" i="14"/>
  <c r="B174" i="14"/>
  <c r="Z174" i="14" s="1"/>
  <c r="A174" i="14"/>
  <c r="AE173" i="14"/>
  <c r="AD173" i="14"/>
  <c r="AB173" i="14"/>
  <c r="Y173" i="14"/>
  <c r="B173" i="14"/>
  <c r="Z173" i="14" s="1"/>
  <c r="A173" i="14"/>
  <c r="B172" i="14"/>
  <c r="AC172" i="14" s="1"/>
  <c r="A172" i="14"/>
  <c r="B171" i="14"/>
  <c r="A171" i="14"/>
  <c r="AE170" i="14"/>
  <c r="AC170" i="14"/>
  <c r="AA170" i="14"/>
  <c r="Y170" i="14"/>
  <c r="B170" i="14"/>
  <c r="Z170" i="14" s="1"/>
  <c r="A170" i="14"/>
  <c r="AD169" i="14"/>
  <c r="AC169" i="14"/>
  <c r="B169" i="14"/>
  <c r="AA169" i="14" s="1"/>
  <c r="A169" i="14"/>
  <c r="B168" i="14"/>
  <c r="A168" i="14"/>
  <c r="AE167" i="14"/>
  <c r="AB167" i="14"/>
  <c r="B167" i="14"/>
  <c r="Z167" i="14" s="1"/>
  <c r="A167" i="14"/>
  <c r="B166" i="14"/>
  <c r="AE166" i="14" s="1"/>
  <c r="A166" i="14"/>
  <c r="B165" i="14"/>
  <c r="A165" i="14"/>
  <c r="B164" i="14"/>
  <c r="Z164" i="14" s="1"/>
  <c r="A164" i="14"/>
  <c r="B163" i="14"/>
  <c r="AE163" i="14" s="1"/>
  <c r="A163" i="14"/>
  <c r="B162" i="14"/>
  <c r="AB162" i="14" s="1"/>
  <c r="A162" i="14"/>
  <c r="B161" i="14"/>
  <c r="AE161" i="14" s="1"/>
  <c r="A161" i="14"/>
  <c r="AC160" i="14"/>
  <c r="B160" i="14"/>
  <c r="AB160" i="14" s="1"/>
  <c r="A160" i="14"/>
  <c r="B159" i="14"/>
  <c r="Z159" i="14" s="1"/>
  <c r="A159" i="14"/>
  <c r="AD158" i="14"/>
  <c r="AB158" i="14"/>
  <c r="Y158" i="14"/>
  <c r="B158" i="14"/>
  <c r="Z158" i="14" s="1"/>
  <c r="A158" i="14"/>
  <c r="B157" i="14"/>
  <c r="AA157" i="14" s="1"/>
  <c r="A157" i="14"/>
  <c r="B156" i="14"/>
  <c r="Y156" i="14" s="1"/>
  <c r="A156" i="14"/>
  <c r="B155" i="14"/>
  <c r="A155" i="14"/>
  <c r="B154" i="14"/>
  <c r="AE154" i="14" s="1"/>
  <c r="A154" i="14"/>
  <c r="B153" i="14"/>
  <c r="A153" i="14"/>
  <c r="B152" i="14"/>
  <c r="A152" i="14"/>
  <c r="B151" i="14"/>
  <c r="AB151" i="14" s="1"/>
  <c r="A151" i="14"/>
  <c r="B150" i="14"/>
  <c r="A150" i="14"/>
  <c r="B149" i="14"/>
  <c r="Y149" i="14" s="1"/>
  <c r="A149" i="14"/>
  <c r="B148" i="14"/>
  <c r="AE148" i="14" s="1"/>
  <c r="A148" i="14"/>
  <c r="B147" i="14"/>
  <c r="AD147" i="14" s="1"/>
  <c r="A147" i="14"/>
  <c r="B146" i="14"/>
  <c r="Y146" i="14" s="1"/>
  <c r="A146" i="14"/>
  <c r="AE145" i="14"/>
  <c r="B145" i="14"/>
  <c r="AA145" i="14" s="1"/>
  <c r="A145" i="14"/>
  <c r="AE144" i="14"/>
  <c r="AD144" i="14"/>
  <c r="AC144" i="14"/>
  <c r="AB144" i="14"/>
  <c r="AA144" i="14"/>
  <c r="Z144" i="14"/>
  <c r="Y144" i="14"/>
  <c r="Z138" i="14"/>
  <c r="Y138" i="14"/>
  <c r="X138" i="14"/>
  <c r="V138" i="14"/>
  <c r="U138" i="14"/>
  <c r="S138" i="14"/>
  <c r="B138" i="14"/>
  <c r="W138" i="14" s="1"/>
  <c r="A138" i="14"/>
  <c r="Z137" i="14"/>
  <c r="Y137" i="14"/>
  <c r="X137" i="14"/>
  <c r="W137" i="14"/>
  <c r="V137" i="14"/>
  <c r="T137" i="14"/>
  <c r="S137" i="14"/>
  <c r="B137" i="14"/>
  <c r="U137" i="14" s="1"/>
  <c r="A137" i="14"/>
  <c r="Y136" i="14"/>
  <c r="X136" i="14"/>
  <c r="V136" i="14"/>
  <c r="U136" i="14"/>
  <c r="B136" i="14"/>
  <c r="W136" i="14" s="1"/>
  <c r="A136" i="14"/>
  <c r="U135" i="14"/>
  <c r="T135" i="14"/>
  <c r="S135" i="14"/>
  <c r="B135" i="14"/>
  <c r="A135" i="14"/>
  <c r="Z134" i="14"/>
  <c r="Y134" i="14"/>
  <c r="W134" i="14"/>
  <c r="U134" i="14"/>
  <c r="S134" i="14"/>
  <c r="B134" i="14"/>
  <c r="A134" i="14"/>
  <c r="Z133" i="14"/>
  <c r="X133" i="14"/>
  <c r="U133" i="14"/>
  <c r="T133" i="14"/>
  <c r="B133" i="14"/>
  <c r="W133" i="14" s="1"/>
  <c r="A133" i="14"/>
  <c r="V132" i="14"/>
  <c r="U132" i="14"/>
  <c r="S132" i="14"/>
  <c r="B132" i="14"/>
  <c r="A132" i="14"/>
  <c r="Y131" i="14"/>
  <c r="W131" i="14"/>
  <c r="B131" i="14"/>
  <c r="U131" i="14" s="1"/>
  <c r="A131" i="14"/>
  <c r="B130" i="14"/>
  <c r="S130" i="14" s="1"/>
  <c r="A130" i="14"/>
  <c r="X129" i="14"/>
  <c r="U129" i="14"/>
  <c r="B129" i="14"/>
  <c r="A129" i="14"/>
  <c r="B128" i="14"/>
  <c r="A128" i="14"/>
  <c r="B127" i="14"/>
  <c r="W127" i="14" s="1"/>
  <c r="A127" i="14"/>
  <c r="B126" i="14"/>
  <c r="X126" i="14" s="1"/>
  <c r="A126" i="14"/>
  <c r="Y125" i="14"/>
  <c r="B125" i="14"/>
  <c r="U125" i="14" s="1"/>
  <c r="A125" i="14"/>
  <c r="B124" i="14"/>
  <c r="T124" i="14" s="1"/>
  <c r="A124" i="14"/>
  <c r="Y123" i="14"/>
  <c r="X123" i="14"/>
  <c r="W123" i="14"/>
  <c r="B123" i="14"/>
  <c r="U123" i="14" s="1"/>
  <c r="A123" i="14"/>
  <c r="B122" i="14"/>
  <c r="A122" i="14"/>
  <c r="B121" i="14"/>
  <c r="S121" i="14" s="1"/>
  <c r="A121" i="14"/>
  <c r="B120" i="14"/>
  <c r="A120" i="14"/>
  <c r="B119" i="14"/>
  <c r="Y119" i="14" s="1"/>
  <c r="A119" i="14"/>
  <c r="B118" i="14"/>
  <c r="X118" i="14" s="1"/>
  <c r="A118" i="14"/>
  <c r="B117" i="14"/>
  <c r="A117" i="14"/>
  <c r="B116" i="14"/>
  <c r="A116" i="14"/>
  <c r="B115" i="14"/>
  <c r="W115" i="14" s="1"/>
  <c r="A115" i="14"/>
  <c r="V114" i="14"/>
  <c r="B114" i="14"/>
  <c r="S114" i="14" s="1"/>
  <c r="A114" i="14"/>
  <c r="B113" i="14"/>
  <c r="U113" i="14" s="1"/>
  <c r="A113" i="14"/>
  <c r="B112" i="14"/>
  <c r="S112" i="14" s="1"/>
  <c r="A112" i="14"/>
  <c r="B111" i="14"/>
  <c r="V111" i="14" s="1"/>
  <c r="A111" i="14"/>
  <c r="B110" i="14"/>
  <c r="X110" i="14" s="1"/>
  <c r="A110" i="14"/>
  <c r="B109" i="14"/>
  <c r="A109" i="14"/>
  <c r="B108" i="14"/>
  <c r="X108" i="14" s="1"/>
  <c r="A108" i="14"/>
  <c r="Y107" i="14"/>
  <c r="X107" i="14"/>
  <c r="W107" i="14"/>
  <c r="B107" i="14"/>
  <c r="U107" i="14" s="1"/>
  <c r="A107" i="14"/>
  <c r="B106" i="14"/>
  <c r="A106" i="14"/>
  <c r="B105" i="14"/>
  <c r="U105" i="14" s="1"/>
  <c r="A105" i="14"/>
  <c r="B104" i="14"/>
  <c r="A104" i="14"/>
  <c r="B103" i="14"/>
  <c r="U103" i="14" s="1"/>
  <c r="A103" i="14"/>
  <c r="B102" i="14"/>
  <c r="A102" i="14"/>
  <c r="B101" i="14"/>
  <c r="U101" i="14" s="1"/>
  <c r="A101" i="14"/>
  <c r="B100" i="14"/>
  <c r="X100" i="14" s="1"/>
  <c r="A100" i="14"/>
  <c r="B99" i="14"/>
  <c r="T99" i="14" s="1"/>
  <c r="A99" i="14"/>
  <c r="Y98" i="14"/>
  <c r="X98" i="14"/>
  <c r="W98" i="14"/>
  <c r="V98" i="14"/>
  <c r="U98" i="14"/>
  <c r="T98" i="14"/>
  <c r="S98" i="14"/>
  <c r="AE92" i="14"/>
  <c r="AD92" i="14"/>
  <c r="AC92" i="14"/>
  <c r="B92" i="14"/>
  <c r="A92" i="14"/>
  <c r="B91" i="14"/>
  <c r="Y91" i="14" s="1"/>
  <c r="A91" i="14"/>
  <c r="AF90" i="14"/>
  <c r="AE90" i="14"/>
  <c r="AD90" i="14"/>
  <c r="AC90" i="14"/>
  <c r="AB90" i="14"/>
  <c r="AA90" i="14"/>
  <c r="Z90" i="14"/>
  <c r="Y90" i="14"/>
  <c r="B90" i="14"/>
  <c r="A90" i="14"/>
  <c r="AF89" i="14"/>
  <c r="AD89" i="14"/>
  <c r="AC89" i="14"/>
  <c r="AB89" i="14"/>
  <c r="AA89" i="14"/>
  <c r="Z89" i="14"/>
  <c r="Y89" i="14"/>
  <c r="B89" i="14"/>
  <c r="AE89" i="14" s="1"/>
  <c r="A89" i="14"/>
  <c r="AB88" i="14"/>
  <c r="AA88" i="14"/>
  <c r="Y88" i="14"/>
  <c r="B88" i="14"/>
  <c r="A88" i="14"/>
  <c r="Y87" i="14"/>
  <c r="B87" i="14"/>
  <c r="A87" i="14"/>
  <c r="AF86" i="14"/>
  <c r="AE86" i="14"/>
  <c r="AD86" i="14"/>
  <c r="AC86" i="14"/>
  <c r="AA86" i="14"/>
  <c r="Z86" i="14"/>
  <c r="B86" i="14"/>
  <c r="A86" i="14"/>
  <c r="B85" i="14"/>
  <c r="Z85" i="14" s="1"/>
  <c r="A85" i="14"/>
  <c r="AE84" i="14"/>
  <c r="B84" i="14"/>
  <c r="AD84" i="14" s="1"/>
  <c r="A84" i="14"/>
  <c r="B83" i="14"/>
  <c r="Y83" i="14" s="1"/>
  <c r="A83" i="14"/>
  <c r="B82" i="14"/>
  <c r="AA82" i="14" s="1"/>
  <c r="A82" i="14"/>
  <c r="B81" i="14"/>
  <c r="A81" i="14"/>
  <c r="B80" i="14"/>
  <c r="A80" i="14"/>
  <c r="AE79" i="14"/>
  <c r="AD79" i="14"/>
  <c r="AA79" i="14"/>
  <c r="B79" i="14"/>
  <c r="Z79" i="14" s="1"/>
  <c r="A79" i="14"/>
  <c r="AF78" i="14"/>
  <c r="AE78" i="14"/>
  <c r="AD78" i="14"/>
  <c r="AC78" i="14"/>
  <c r="AB78" i="14"/>
  <c r="B78" i="14"/>
  <c r="AA78" i="14" s="1"/>
  <c r="A78" i="14"/>
  <c r="B77" i="14"/>
  <c r="AB77" i="14" s="1"/>
  <c r="A77" i="14"/>
  <c r="B76" i="14"/>
  <c r="Y76" i="14" s="1"/>
  <c r="A76" i="14"/>
  <c r="B75" i="14"/>
  <c r="A75" i="14"/>
  <c r="B74" i="14"/>
  <c r="AE74" i="14" s="1"/>
  <c r="A74" i="14"/>
  <c r="B73" i="14"/>
  <c r="A73" i="14"/>
  <c r="B72" i="14"/>
  <c r="AB72" i="14" s="1"/>
  <c r="A72" i="14"/>
  <c r="B71" i="14"/>
  <c r="A71" i="14"/>
  <c r="AD70" i="14"/>
  <c r="B70" i="14"/>
  <c r="AC70" i="14" s="1"/>
  <c r="A70" i="14"/>
  <c r="B69" i="14"/>
  <c r="A69" i="14"/>
  <c r="B68" i="14"/>
  <c r="Y68" i="14" s="1"/>
  <c r="A68" i="14"/>
  <c r="B67" i="14"/>
  <c r="Z67" i="14" s="1"/>
  <c r="A67" i="14"/>
  <c r="B66" i="14"/>
  <c r="AC66" i="14" s="1"/>
  <c r="A66" i="14"/>
  <c r="B65" i="14"/>
  <c r="Y65" i="14" s="1"/>
  <c r="A65" i="14"/>
  <c r="B64" i="14"/>
  <c r="AE64" i="14" s="1"/>
  <c r="A64" i="14"/>
  <c r="B63" i="14"/>
  <c r="A63" i="14"/>
  <c r="B62" i="14"/>
  <c r="AB62" i="14" s="1"/>
  <c r="A62" i="14"/>
  <c r="B61" i="14"/>
  <c r="Y61" i="14" s="1"/>
  <c r="A61" i="14"/>
  <c r="B60" i="14"/>
  <c r="AB60" i="14" s="1"/>
  <c r="A60" i="14"/>
  <c r="B59" i="14"/>
  <c r="Z59" i="14" s="1"/>
  <c r="A59" i="14"/>
  <c r="B58" i="14"/>
  <c r="Y58" i="14" s="1"/>
  <c r="A58" i="14"/>
  <c r="B57" i="14"/>
  <c r="AD57" i="14" s="1"/>
  <c r="A57" i="14"/>
  <c r="B56" i="14"/>
  <c r="A56" i="14"/>
  <c r="B55" i="14"/>
  <c r="AA55" i="14" s="1"/>
  <c r="A55" i="14"/>
  <c r="B54" i="14"/>
  <c r="Y54" i="14" s="1"/>
  <c r="A54" i="14"/>
  <c r="AD53" i="14"/>
  <c r="B53" i="14"/>
  <c r="AB53" i="14" s="1"/>
  <c r="A53" i="14"/>
  <c r="AE52" i="14"/>
  <c r="AD52" i="14"/>
  <c r="AC52" i="14"/>
  <c r="AB52" i="14"/>
  <c r="AA52" i="14"/>
  <c r="Z52" i="14"/>
  <c r="Y52" i="14"/>
  <c r="J17" i="14"/>
  <c r="I17" i="14"/>
  <c r="H17" i="14"/>
  <c r="G17" i="14"/>
  <c r="F17" i="14"/>
  <c r="J16" i="14"/>
  <c r="I16" i="14"/>
  <c r="H16" i="14"/>
  <c r="G16" i="14"/>
  <c r="F16" i="14"/>
  <c r="J15" i="14"/>
  <c r="I15" i="14"/>
  <c r="H15" i="14"/>
  <c r="G15" i="14"/>
  <c r="F15" i="14"/>
  <c r="J14" i="14"/>
  <c r="I14" i="14"/>
  <c r="H14" i="14"/>
  <c r="G14" i="14"/>
  <c r="F14" i="14"/>
  <c r="J13" i="14"/>
  <c r="I13" i="14"/>
  <c r="H13" i="14"/>
  <c r="G13" i="14"/>
  <c r="F13" i="14"/>
  <c r="J12" i="14"/>
  <c r="I12" i="14"/>
  <c r="H12" i="14"/>
  <c r="G12" i="14"/>
  <c r="F12" i="14"/>
  <c r="J11" i="14"/>
  <c r="I11" i="14"/>
  <c r="H11" i="14"/>
  <c r="G11" i="14"/>
  <c r="F11" i="14"/>
  <c r="E7" i="14"/>
  <c r="D7" i="14"/>
  <c r="C7" i="14"/>
  <c r="B7" i="14"/>
  <c r="A7" i="14"/>
  <c r="A5" i="14"/>
  <c r="H13" i="11" s="1"/>
  <c r="J2" i="14"/>
  <c r="H2" i="14"/>
  <c r="F2" i="14"/>
  <c r="D2" i="14"/>
  <c r="B2" i="14"/>
  <c r="A1" i="14"/>
  <c r="Q230" i="13"/>
  <c r="B230" i="13"/>
  <c r="A230" i="13"/>
  <c r="B229" i="13"/>
  <c r="W229" i="13" s="1"/>
  <c r="A229" i="13"/>
  <c r="W228" i="13"/>
  <c r="V228" i="13"/>
  <c r="U228" i="13"/>
  <c r="T228" i="13"/>
  <c r="R228" i="13"/>
  <c r="Q228" i="13"/>
  <c r="B228" i="13"/>
  <c r="S228" i="13" s="1"/>
  <c r="A228" i="13"/>
  <c r="W227" i="13"/>
  <c r="V227" i="13"/>
  <c r="U227" i="13"/>
  <c r="S227" i="13"/>
  <c r="R227" i="13"/>
  <c r="B227" i="13"/>
  <c r="Q227" i="13" s="1"/>
  <c r="A227" i="13"/>
  <c r="W226" i="13"/>
  <c r="U226" i="13"/>
  <c r="T226" i="13"/>
  <c r="S226" i="13"/>
  <c r="R226" i="13"/>
  <c r="Q226" i="13"/>
  <c r="P226" i="13"/>
  <c r="B226" i="13"/>
  <c r="V226" i="13" s="1"/>
  <c r="A226" i="13"/>
  <c r="S225" i="13"/>
  <c r="R225" i="13"/>
  <c r="B225" i="13"/>
  <c r="A225" i="13"/>
  <c r="P224" i="13"/>
  <c r="B224" i="13"/>
  <c r="A224" i="13"/>
  <c r="W223" i="13"/>
  <c r="V223" i="13"/>
  <c r="B223" i="13"/>
  <c r="A223" i="13"/>
  <c r="B222" i="13"/>
  <c r="A222" i="13"/>
  <c r="U221" i="13"/>
  <c r="B221" i="13"/>
  <c r="Q221" i="13" s="1"/>
  <c r="A221" i="13"/>
  <c r="B220" i="13"/>
  <c r="V220" i="13" s="1"/>
  <c r="A220" i="13"/>
  <c r="B219" i="13"/>
  <c r="S219" i="13" s="1"/>
  <c r="A219" i="13"/>
  <c r="B218" i="13"/>
  <c r="Q218" i="13" s="1"/>
  <c r="A218" i="13"/>
  <c r="B217" i="13"/>
  <c r="A217" i="13"/>
  <c r="B216" i="13"/>
  <c r="S216" i="13" s="1"/>
  <c r="A216" i="13"/>
  <c r="B215" i="13"/>
  <c r="Q215" i="13" s="1"/>
  <c r="A215" i="13"/>
  <c r="U214" i="13"/>
  <c r="Q214" i="13"/>
  <c r="P214" i="13"/>
  <c r="B214" i="13"/>
  <c r="V214" i="13" s="1"/>
  <c r="A214" i="13"/>
  <c r="B213" i="13"/>
  <c r="S213" i="13" s="1"/>
  <c r="A213" i="13"/>
  <c r="B212" i="13"/>
  <c r="A212" i="13"/>
  <c r="B211" i="13"/>
  <c r="V211" i="13" s="1"/>
  <c r="A211" i="13"/>
  <c r="B210" i="13"/>
  <c r="S210" i="13" s="1"/>
  <c r="A210" i="13"/>
  <c r="V209" i="13"/>
  <c r="U209" i="13"/>
  <c r="S209" i="13"/>
  <c r="B209" i="13"/>
  <c r="Q209" i="13" s="1"/>
  <c r="A209" i="13"/>
  <c r="B208" i="13"/>
  <c r="A208" i="13"/>
  <c r="B207" i="13"/>
  <c r="S207" i="13" s="1"/>
  <c r="A207" i="13"/>
  <c r="B206" i="13"/>
  <c r="Q206" i="13" s="1"/>
  <c r="A206" i="13"/>
  <c r="B205" i="13"/>
  <c r="A205" i="13"/>
  <c r="B204" i="13"/>
  <c r="S204" i="13" s="1"/>
  <c r="A204" i="13"/>
  <c r="B203" i="13"/>
  <c r="A203" i="13"/>
  <c r="B202" i="13"/>
  <c r="V202" i="13" s="1"/>
  <c r="A202" i="13"/>
  <c r="B201" i="13"/>
  <c r="S201" i="13" s="1"/>
  <c r="A201" i="13"/>
  <c r="B200" i="13"/>
  <c r="Q200" i="13" s="1"/>
  <c r="A200" i="13"/>
  <c r="B199" i="13"/>
  <c r="A199" i="13"/>
  <c r="B198" i="13"/>
  <c r="S198" i="13" s="1"/>
  <c r="A198" i="13"/>
  <c r="B197" i="13"/>
  <c r="A197" i="13"/>
  <c r="R196" i="13"/>
  <c r="B196" i="13"/>
  <c r="V196" i="13" s="1"/>
  <c r="A196" i="13"/>
  <c r="B195" i="13"/>
  <c r="S195" i="13" s="1"/>
  <c r="A195" i="13"/>
  <c r="B194" i="13"/>
  <c r="Q194" i="13" s="1"/>
  <c r="A194" i="13"/>
  <c r="B193" i="13"/>
  <c r="V193" i="13" s="1"/>
  <c r="A193" i="13"/>
  <c r="B192" i="13"/>
  <c r="A192" i="13"/>
  <c r="B191" i="13"/>
  <c r="Q191" i="13" s="1"/>
  <c r="A191" i="13"/>
  <c r="V190" i="13"/>
  <c r="U190" i="13"/>
  <c r="T190" i="13"/>
  <c r="S190" i="13"/>
  <c r="R190" i="13"/>
  <c r="Q190" i="13"/>
  <c r="P190" i="13"/>
  <c r="AF184" i="13"/>
  <c r="B184" i="13"/>
  <c r="A184" i="13"/>
  <c r="AF183" i="13"/>
  <c r="AE183" i="13"/>
  <c r="AD183" i="13"/>
  <c r="AC183" i="13"/>
  <c r="AB183" i="13"/>
  <c r="AA183" i="13"/>
  <c r="Y183" i="13"/>
  <c r="B183" i="13"/>
  <c r="Z183" i="13" s="1"/>
  <c r="A183" i="13"/>
  <c r="AF182" i="13"/>
  <c r="AE182" i="13"/>
  <c r="AD182" i="13"/>
  <c r="AC182" i="13"/>
  <c r="AB182" i="13"/>
  <c r="AA182" i="13"/>
  <c r="Z182" i="13"/>
  <c r="Y182" i="13"/>
  <c r="B182" i="13"/>
  <c r="A182" i="13"/>
  <c r="AE181" i="13"/>
  <c r="AD181" i="13"/>
  <c r="AC181" i="13"/>
  <c r="AA181" i="13"/>
  <c r="Z181" i="13"/>
  <c r="B181" i="13"/>
  <c r="Y181" i="13" s="1"/>
  <c r="A181" i="13"/>
  <c r="AC180" i="13"/>
  <c r="AB180" i="13"/>
  <c r="AA180" i="13"/>
  <c r="Y180" i="13"/>
  <c r="B180" i="13"/>
  <c r="A180" i="13"/>
  <c r="AF179" i="13"/>
  <c r="AE179" i="13"/>
  <c r="AA179" i="13"/>
  <c r="Z179" i="13"/>
  <c r="Y179" i="13"/>
  <c r="B179" i="13"/>
  <c r="AD179" i="13" s="1"/>
  <c r="A179" i="13"/>
  <c r="B178" i="13"/>
  <c r="Y178" i="13" s="1"/>
  <c r="A178" i="13"/>
  <c r="AF177" i="13"/>
  <c r="AE177" i="13"/>
  <c r="AD177" i="13"/>
  <c r="AC177" i="13"/>
  <c r="AB177" i="13"/>
  <c r="AA177" i="13"/>
  <c r="Y177" i="13"/>
  <c r="B177" i="13"/>
  <c r="Z177" i="13" s="1"/>
  <c r="A177" i="13"/>
  <c r="B176" i="13"/>
  <c r="AA176" i="13" s="1"/>
  <c r="A176" i="13"/>
  <c r="B175" i="13"/>
  <c r="A175" i="13"/>
  <c r="B174" i="13"/>
  <c r="A174" i="13"/>
  <c r="B173" i="13"/>
  <c r="AD173" i="13" s="1"/>
  <c r="A173" i="13"/>
  <c r="B172" i="13"/>
  <c r="A172" i="13"/>
  <c r="B171" i="13"/>
  <c r="Z171" i="13" s="1"/>
  <c r="A171" i="13"/>
  <c r="AB170" i="13"/>
  <c r="B170" i="13"/>
  <c r="AA170" i="13" s="1"/>
  <c r="A170" i="13"/>
  <c r="B169" i="13"/>
  <c r="AA169" i="13" s="1"/>
  <c r="A169" i="13"/>
  <c r="Y168" i="13"/>
  <c r="B168" i="13"/>
  <c r="AC168" i="13" s="1"/>
  <c r="A168" i="13"/>
  <c r="B167" i="13"/>
  <c r="A167" i="13"/>
  <c r="B166" i="13"/>
  <c r="A166" i="13"/>
  <c r="B165" i="13"/>
  <c r="Y165" i="13" s="1"/>
  <c r="A165" i="13"/>
  <c r="B164" i="13"/>
  <c r="A164" i="13"/>
  <c r="AE163" i="13"/>
  <c r="AD163" i="13"/>
  <c r="B163" i="13"/>
  <c r="Y163" i="13" s="1"/>
  <c r="A163" i="13"/>
  <c r="B162" i="13"/>
  <c r="A162" i="13"/>
  <c r="B161" i="13"/>
  <c r="AD161" i="13" s="1"/>
  <c r="A161" i="13"/>
  <c r="B160" i="13"/>
  <c r="A160" i="13"/>
  <c r="AE159" i="13"/>
  <c r="B159" i="13"/>
  <c r="Z159" i="13" s="1"/>
  <c r="A159" i="13"/>
  <c r="B158" i="13"/>
  <c r="AF158" i="13" s="1"/>
  <c r="A158" i="13"/>
  <c r="B157" i="13"/>
  <c r="Y157" i="13" s="1"/>
  <c r="A157" i="13"/>
  <c r="AB156" i="13"/>
  <c r="AA156" i="13"/>
  <c r="B156" i="13"/>
  <c r="A156" i="13"/>
  <c r="B155" i="13"/>
  <c r="AD155" i="13" s="1"/>
  <c r="A155" i="13"/>
  <c r="B154" i="13"/>
  <c r="A154" i="13"/>
  <c r="B153" i="13"/>
  <c r="Z153" i="13" s="1"/>
  <c r="A153" i="13"/>
  <c r="AA152" i="13"/>
  <c r="Z152" i="13"/>
  <c r="B152" i="13"/>
  <c r="AC152" i="13" s="1"/>
  <c r="A152" i="13"/>
  <c r="AE151" i="13"/>
  <c r="AD151" i="13"/>
  <c r="AC151" i="13"/>
  <c r="AA151" i="13"/>
  <c r="Z151" i="13"/>
  <c r="B151" i="13"/>
  <c r="Y151" i="13" s="1"/>
  <c r="A151" i="13"/>
  <c r="B150" i="13"/>
  <c r="Y150" i="13" s="1"/>
  <c r="A150" i="13"/>
  <c r="B149" i="13"/>
  <c r="AD149" i="13" s="1"/>
  <c r="A149" i="13"/>
  <c r="B148" i="13"/>
  <c r="A148" i="13"/>
  <c r="B147" i="13"/>
  <c r="Z147" i="13" s="1"/>
  <c r="A147" i="13"/>
  <c r="B146" i="13"/>
  <c r="A146" i="13"/>
  <c r="AE145" i="13"/>
  <c r="B145" i="13"/>
  <c r="Y145" i="13" s="1"/>
  <c r="A145" i="13"/>
  <c r="AE144" i="13"/>
  <c r="AD144" i="13"/>
  <c r="AC144" i="13"/>
  <c r="AB144" i="13"/>
  <c r="AA144" i="13"/>
  <c r="Z144" i="13"/>
  <c r="Y144" i="13"/>
  <c r="B138" i="13"/>
  <c r="Y138" i="13" s="1"/>
  <c r="A138" i="13"/>
  <c r="Z137" i="13"/>
  <c r="Y137" i="13"/>
  <c r="X137" i="13"/>
  <c r="W137" i="13"/>
  <c r="U137" i="13"/>
  <c r="T137" i="13"/>
  <c r="B137" i="13"/>
  <c r="V137" i="13" s="1"/>
  <c r="A137" i="13"/>
  <c r="Z136" i="13"/>
  <c r="Y136" i="13"/>
  <c r="X136" i="13"/>
  <c r="V136" i="13"/>
  <c r="U136" i="13"/>
  <c r="B136" i="13"/>
  <c r="T136" i="13" s="1"/>
  <c r="A136" i="13"/>
  <c r="Z135" i="13"/>
  <c r="X135" i="13"/>
  <c r="W135" i="13"/>
  <c r="V135" i="13"/>
  <c r="U135" i="13"/>
  <c r="T135" i="13"/>
  <c r="S135" i="13"/>
  <c r="B135" i="13"/>
  <c r="Y135" i="13" s="1"/>
  <c r="A135" i="13"/>
  <c r="V134" i="13"/>
  <c r="U134" i="13"/>
  <c r="B134" i="13"/>
  <c r="A134" i="13"/>
  <c r="B133" i="13"/>
  <c r="T133" i="13" s="1"/>
  <c r="A133" i="13"/>
  <c r="Z132" i="13"/>
  <c r="Y132" i="13"/>
  <c r="B132" i="13"/>
  <c r="A132" i="13"/>
  <c r="Z131" i="13"/>
  <c r="Y131" i="13"/>
  <c r="X131" i="13"/>
  <c r="W131" i="13"/>
  <c r="U131" i="13"/>
  <c r="T131" i="13"/>
  <c r="B131" i="13"/>
  <c r="V131" i="13" s="1"/>
  <c r="A131" i="13"/>
  <c r="B130" i="13"/>
  <c r="T130" i="13" s="1"/>
  <c r="A130" i="13"/>
  <c r="W129" i="13"/>
  <c r="B129" i="13"/>
  <c r="Y129" i="13" s="1"/>
  <c r="A129" i="13"/>
  <c r="B128" i="13"/>
  <c r="V128" i="13" s="1"/>
  <c r="A128" i="13"/>
  <c r="B127" i="13"/>
  <c r="T127" i="13" s="1"/>
  <c r="A127" i="13"/>
  <c r="B126" i="13"/>
  <c r="A126" i="13"/>
  <c r="B125" i="13"/>
  <c r="V125" i="13" s="1"/>
  <c r="A125" i="13"/>
  <c r="B124" i="13"/>
  <c r="T124" i="13" s="1"/>
  <c r="A124" i="13"/>
  <c r="B123" i="13"/>
  <c r="T123" i="13" s="1"/>
  <c r="A123" i="13"/>
  <c r="B122" i="13"/>
  <c r="U122" i="13" s="1"/>
  <c r="A122" i="13"/>
  <c r="B121" i="13"/>
  <c r="T121" i="13" s="1"/>
  <c r="A121" i="13"/>
  <c r="B120" i="13"/>
  <c r="Y120" i="13" s="1"/>
  <c r="A120" i="13"/>
  <c r="B119" i="13"/>
  <c r="V119" i="13" s="1"/>
  <c r="A119" i="13"/>
  <c r="B118" i="13"/>
  <c r="A118" i="13"/>
  <c r="B117" i="13"/>
  <c r="Y117" i="13" s="1"/>
  <c r="A117" i="13"/>
  <c r="B116" i="13"/>
  <c r="U116" i="13" s="1"/>
  <c r="A116" i="13"/>
  <c r="B115" i="13"/>
  <c r="S115" i="13" s="1"/>
  <c r="A115" i="13"/>
  <c r="B114" i="13"/>
  <c r="A114" i="13"/>
  <c r="B113" i="13"/>
  <c r="U113" i="13" s="1"/>
  <c r="A113" i="13"/>
  <c r="B112" i="13"/>
  <c r="T112" i="13" s="1"/>
  <c r="A112" i="13"/>
  <c r="B111" i="13"/>
  <c r="Y111" i="13" s="1"/>
  <c r="A111" i="13"/>
  <c r="B110" i="13"/>
  <c r="V110" i="13" s="1"/>
  <c r="A110" i="13"/>
  <c r="B109" i="13"/>
  <c r="A109" i="13"/>
  <c r="B108" i="13"/>
  <c r="A108" i="13"/>
  <c r="B107" i="13"/>
  <c r="V107" i="13" s="1"/>
  <c r="A107" i="13"/>
  <c r="B106" i="13"/>
  <c r="T106" i="13" s="1"/>
  <c r="A106" i="13"/>
  <c r="W105" i="13"/>
  <c r="V105" i="13"/>
  <c r="U105" i="13"/>
  <c r="B105" i="13"/>
  <c r="Y105" i="13" s="1"/>
  <c r="A105" i="13"/>
  <c r="U104" i="13"/>
  <c r="B104" i="13"/>
  <c r="V104" i="13" s="1"/>
  <c r="A104" i="13"/>
  <c r="B103" i="13"/>
  <c r="T103" i="13" s="1"/>
  <c r="A103" i="13"/>
  <c r="B102" i="13"/>
  <c r="Y102" i="13" s="1"/>
  <c r="A102" i="13"/>
  <c r="B101" i="13"/>
  <c r="V101" i="13" s="1"/>
  <c r="A101" i="13"/>
  <c r="V100" i="13"/>
  <c r="B100" i="13"/>
  <c r="T100" i="13" s="1"/>
  <c r="A100" i="13"/>
  <c r="B99" i="13"/>
  <c r="T99" i="13" s="1"/>
  <c r="A99" i="13"/>
  <c r="Y98" i="13"/>
  <c r="X98" i="13"/>
  <c r="W98" i="13"/>
  <c r="V98" i="13"/>
  <c r="U98" i="13"/>
  <c r="T98" i="13"/>
  <c r="S98" i="13"/>
  <c r="AF92" i="13"/>
  <c r="AE92" i="13"/>
  <c r="AD92" i="13"/>
  <c r="AC92" i="13"/>
  <c r="AB92" i="13"/>
  <c r="AA92" i="13"/>
  <c r="Y92" i="13"/>
  <c r="B92" i="13"/>
  <c r="Z92" i="13" s="1"/>
  <c r="A92" i="13"/>
  <c r="AF91" i="13"/>
  <c r="AE91" i="13"/>
  <c r="AD91" i="13"/>
  <c r="AC91" i="13"/>
  <c r="AB91" i="13"/>
  <c r="AA91" i="13"/>
  <c r="Z91" i="13"/>
  <c r="Y91" i="13"/>
  <c r="B91" i="13"/>
  <c r="A91" i="13"/>
  <c r="AE90" i="13"/>
  <c r="AD90" i="13"/>
  <c r="AC90" i="13"/>
  <c r="AB90" i="13"/>
  <c r="AA90" i="13"/>
  <c r="Z90" i="13"/>
  <c r="B90" i="13"/>
  <c r="Y90" i="13" s="1"/>
  <c r="A90" i="13"/>
  <c r="AB89" i="13"/>
  <c r="AA89" i="13"/>
  <c r="Y89" i="13"/>
  <c r="B89" i="13"/>
  <c r="A89" i="13"/>
  <c r="AE88" i="13"/>
  <c r="AA88" i="13"/>
  <c r="Z88" i="13"/>
  <c r="Y88" i="13"/>
  <c r="B88" i="13"/>
  <c r="AF88" i="13" s="1"/>
  <c r="A88" i="13"/>
  <c r="B87" i="13"/>
  <c r="A87" i="13"/>
  <c r="AF86" i="13"/>
  <c r="AE86" i="13"/>
  <c r="AD86" i="13"/>
  <c r="AC86" i="13"/>
  <c r="AB86" i="13"/>
  <c r="AA86" i="13"/>
  <c r="Y86" i="13"/>
  <c r="B86" i="13"/>
  <c r="Z86" i="13" s="1"/>
  <c r="A86" i="13"/>
  <c r="AF85" i="13"/>
  <c r="AE85" i="13"/>
  <c r="AD85" i="13"/>
  <c r="AC85" i="13"/>
  <c r="AB85" i="13"/>
  <c r="AA85" i="13"/>
  <c r="Z85" i="13"/>
  <c r="Y85" i="13"/>
  <c r="B85" i="13"/>
  <c r="A85" i="13"/>
  <c r="B84" i="13"/>
  <c r="Y84" i="13" s="1"/>
  <c r="A84" i="13"/>
  <c r="B83" i="13"/>
  <c r="AB83" i="13" s="1"/>
  <c r="A83" i="13"/>
  <c r="Y82" i="13"/>
  <c r="B82" i="13"/>
  <c r="A82" i="13"/>
  <c r="B81" i="13"/>
  <c r="Y81" i="13" s="1"/>
  <c r="A81" i="13"/>
  <c r="B80" i="13"/>
  <c r="A80" i="13"/>
  <c r="B79" i="13"/>
  <c r="A79" i="13"/>
  <c r="B78" i="13"/>
  <c r="Y78" i="13" s="1"/>
  <c r="A78" i="13"/>
  <c r="B77" i="13"/>
  <c r="A77" i="13"/>
  <c r="AE76" i="13"/>
  <c r="B76" i="13"/>
  <c r="A76" i="13"/>
  <c r="B75" i="13"/>
  <c r="A75" i="13"/>
  <c r="B74" i="13"/>
  <c r="Z74" i="13" s="1"/>
  <c r="A74" i="13"/>
  <c r="AE73" i="13"/>
  <c r="AD73" i="13"/>
  <c r="Z73" i="13"/>
  <c r="Y73" i="13"/>
  <c r="AF73" i="13" s="1"/>
  <c r="B73" i="13"/>
  <c r="AC73" i="13" s="1"/>
  <c r="A73" i="13"/>
  <c r="B72" i="13"/>
  <c r="A72" i="13"/>
  <c r="B71" i="13"/>
  <c r="AA71" i="13" s="1"/>
  <c r="A71" i="13"/>
  <c r="AA70" i="13"/>
  <c r="B70" i="13"/>
  <c r="Z70" i="13" s="1"/>
  <c r="A70" i="13"/>
  <c r="B69" i="13"/>
  <c r="A69" i="13"/>
  <c r="B68" i="13"/>
  <c r="Z68" i="13" s="1"/>
  <c r="A68" i="13"/>
  <c r="AB67" i="13"/>
  <c r="B67" i="13"/>
  <c r="AA67" i="13" s="1"/>
  <c r="A67" i="13"/>
  <c r="AD66" i="13"/>
  <c r="AC66" i="13"/>
  <c r="AB66" i="13"/>
  <c r="AA66" i="13"/>
  <c r="B66" i="13"/>
  <c r="Y66" i="13" s="1"/>
  <c r="A66" i="13"/>
  <c r="AB65" i="13"/>
  <c r="AA65" i="13"/>
  <c r="B65" i="13"/>
  <c r="AC65" i="13" s="1"/>
  <c r="A65" i="13"/>
  <c r="B64" i="13"/>
  <c r="Z64" i="13" s="1"/>
  <c r="A64" i="13"/>
  <c r="B63" i="13"/>
  <c r="Y63" i="13" s="1"/>
  <c r="A63" i="13"/>
  <c r="B62" i="13"/>
  <c r="Y62" i="13" s="1"/>
  <c r="A62" i="13"/>
  <c r="B61" i="13"/>
  <c r="A61" i="13"/>
  <c r="B60" i="13"/>
  <c r="Y60" i="13" s="1"/>
  <c r="A60" i="13"/>
  <c r="B59" i="13"/>
  <c r="Y59" i="13" s="1"/>
  <c r="A59" i="13"/>
  <c r="B58" i="13"/>
  <c r="AE58" i="13" s="1"/>
  <c r="A58" i="13"/>
  <c r="B57" i="13"/>
  <c r="A57" i="13"/>
  <c r="B56" i="13"/>
  <c r="Y56" i="13" s="1"/>
  <c r="A56" i="13"/>
  <c r="B55" i="13"/>
  <c r="A55" i="13"/>
  <c r="AA54" i="13"/>
  <c r="B54" i="13"/>
  <c r="Y54" i="13" s="1"/>
  <c r="A54" i="13"/>
  <c r="B53" i="13"/>
  <c r="A53" i="13"/>
  <c r="AE52" i="13"/>
  <c r="AD52" i="13"/>
  <c r="AC52" i="13"/>
  <c r="AB52" i="13"/>
  <c r="AA52" i="13"/>
  <c r="Z52" i="13"/>
  <c r="Y52" i="13"/>
  <c r="J17" i="13"/>
  <c r="I17" i="13"/>
  <c r="H17" i="13"/>
  <c r="G17" i="13"/>
  <c r="F17" i="13"/>
  <c r="J16" i="13"/>
  <c r="I16" i="13"/>
  <c r="H16" i="13"/>
  <c r="G16" i="13"/>
  <c r="F16" i="13"/>
  <c r="J15" i="13"/>
  <c r="I15" i="13"/>
  <c r="H15" i="13"/>
  <c r="G15" i="13"/>
  <c r="F15" i="13"/>
  <c r="J14" i="13"/>
  <c r="I14" i="13"/>
  <c r="H14" i="13"/>
  <c r="G14" i="13"/>
  <c r="F14" i="13"/>
  <c r="J13" i="13"/>
  <c r="I13" i="13"/>
  <c r="H13" i="13"/>
  <c r="G13" i="13"/>
  <c r="K13" i="13" s="1"/>
  <c r="F13" i="13"/>
  <c r="J12" i="13"/>
  <c r="I12" i="13"/>
  <c r="H12" i="13"/>
  <c r="G12" i="13"/>
  <c r="F12" i="13"/>
  <c r="J11" i="13"/>
  <c r="I11" i="13"/>
  <c r="H11" i="13"/>
  <c r="G11" i="13"/>
  <c r="F11" i="13"/>
  <c r="E7" i="13"/>
  <c r="D7" i="13"/>
  <c r="C7" i="13"/>
  <c r="B7" i="13"/>
  <c r="A7" i="13"/>
  <c r="A5" i="13"/>
  <c r="H12" i="11" s="1"/>
  <c r="J2" i="13"/>
  <c r="H2" i="13"/>
  <c r="F2" i="13"/>
  <c r="D2" i="13"/>
  <c r="B2" i="13"/>
  <c r="A1" i="13"/>
  <c r="W230" i="12"/>
  <c r="V230" i="12"/>
  <c r="U230" i="12"/>
  <c r="T230" i="12"/>
  <c r="S230" i="12"/>
  <c r="R230" i="12"/>
  <c r="Q230" i="12"/>
  <c r="P230" i="12"/>
  <c r="B230" i="12"/>
  <c r="A230" i="12"/>
  <c r="V229" i="12"/>
  <c r="U229" i="12"/>
  <c r="T229" i="12"/>
  <c r="S229" i="12"/>
  <c r="R229" i="12"/>
  <c r="Q229" i="12"/>
  <c r="B229" i="12"/>
  <c r="P229" i="12" s="1"/>
  <c r="A229" i="12"/>
  <c r="T228" i="12"/>
  <c r="S228" i="12"/>
  <c r="P228" i="12"/>
  <c r="B228" i="12"/>
  <c r="A228" i="12"/>
  <c r="V227" i="12"/>
  <c r="R227" i="12"/>
  <c r="Q227" i="12"/>
  <c r="P227" i="12"/>
  <c r="B227" i="12"/>
  <c r="W227" i="12" s="1"/>
  <c r="A227" i="12"/>
  <c r="W226" i="12"/>
  <c r="P226" i="12"/>
  <c r="B226" i="12"/>
  <c r="A226" i="12"/>
  <c r="W225" i="12"/>
  <c r="V225" i="12"/>
  <c r="U225" i="12"/>
  <c r="T225" i="12"/>
  <c r="S225" i="12"/>
  <c r="R225" i="12"/>
  <c r="P225" i="12"/>
  <c r="B225" i="12"/>
  <c r="Q225" i="12" s="1"/>
  <c r="A225" i="12"/>
  <c r="B224" i="12"/>
  <c r="A224" i="12"/>
  <c r="B223" i="12"/>
  <c r="P223" i="12" s="1"/>
  <c r="A223" i="12"/>
  <c r="B222" i="12"/>
  <c r="T222" i="12" s="1"/>
  <c r="A222" i="12"/>
  <c r="B221" i="12"/>
  <c r="A221" i="12"/>
  <c r="B220" i="12"/>
  <c r="A220" i="12"/>
  <c r="B219" i="12"/>
  <c r="A219" i="12"/>
  <c r="B218" i="12"/>
  <c r="S218" i="12" s="1"/>
  <c r="A218" i="12"/>
  <c r="V217" i="12"/>
  <c r="U217" i="12"/>
  <c r="T217" i="12"/>
  <c r="S217" i="12"/>
  <c r="R217" i="12"/>
  <c r="Q217" i="12"/>
  <c r="B217" i="12"/>
  <c r="P217" i="12" s="1"/>
  <c r="A217" i="12"/>
  <c r="B216" i="12"/>
  <c r="R216" i="12" s="1"/>
  <c r="A216" i="12"/>
  <c r="B215" i="12"/>
  <c r="Q215" i="12" s="1"/>
  <c r="A215" i="12"/>
  <c r="B214" i="12"/>
  <c r="P214" i="12" s="1"/>
  <c r="A214" i="12"/>
  <c r="U213" i="12"/>
  <c r="R213" i="12"/>
  <c r="B213" i="12"/>
  <c r="Q213" i="12" s="1"/>
  <c r="A213" i="12"/>
  <c r="B212" i="12"/>
  <c r="A212" i="12"/>
  <c r="V211" i="12"/>
  <c r="S211" i="12"/>
  <c r="R211" i="12"/>
  <c r="B211" i="12"/>
  <c r="P211" i="12" s="1"/>
  <c r="A211" i="12"/>
  <c r="B210" i="12"/>
  <c r="A210" i="12"/>
  <c r="B209" i="12"/>
  <c r="V209" i="12" s="1"/>
  <c r="A209" i="12"/>
  <c r="B208" i="12"/>
  <c r="P208" i="12" s="1"/>
  <c r="A208" i="12"/>
  <c r="W207" i="12"/>
  <c r="V207" i="12"/>
  <c r="U207" i="12"/>
  <c r="T207" i="12"/>
  <c r="S207" i="12"/>
  <c r="R207" i="12"/>
  <c r="P207" i="12"/>
  <c r="B207" i="12"/>
  <c r="Q207" i="12" s="1"/>
  <c r="A207" i="12"/>
  <c r="B206" i="12"/>
  <c r="T206" i="12" s="1"/>
  <c r="A206" i="12"/>
  <c r="T205" i="12"/>
  <c r="Q205" i="12"/>
  <c r="B205" i="12"/>
  <c r="P205" i="12" s="1"/>
  <c r="A205" i="12"/>
  <c r="B204" i="12"/>
  <c r="S204" i="12" s="1"/>
  <c r="A204" i="12"/>
  <c r="B203" i="12"/>
  <c r="A203" i="12"/>
  <c r="B202" i="12"/>
  <c r="A202" i="12"/>
  <c r="B201" i="12"/>
  <c r="Q201" i="12" s="1"/>
  <c r="A201" i="12"/>
  <c r="R200" i="12"/>
  <c r="B200" i="12"/>
  <c r="P200" i="12" s="1"/>
  <c r="A200" i="12"/>
  <c r="U199" i="12"/>
  <c r="B199" i="12"/>
  <c r="P199" i="12" s="1"/>
  <c r="A199" i="12"/>
  <c r="B198" i="12"/>
  <c r="R198" i="12" s="1"/>
  <c r="A198" i="12"/>
  <c r="R197" i="12"/>
  <c r="B197" i="12"/>
  <c r="V197" i="12" s="1"/>
  <c r="A197" i="12"/>
  <c r="B196" i="12"/>
  <c r="A196" i="12"/>
  <c r="B195" i="12"/>
  <c r="Q195" i="12" s="1"/>
  <c r="A195" i="12"/>
  <c r="B194" i="12"/>
  <c r="A194" i="12"/>
  <c r="V193" i="12"/>
  <c r="U193" i="12"/>
  <c r="R193" i="12"/>
  <c r="Q193" i="12"/>
  <c r="B193" i="12"/>
  <c r="P193" i="12" s="1"/>
  <c r="A193" i="12"/>
  <c r="B192" i="12"/>
  <c r="A192" i="12"/>
  <c r="B191" i="12"/>
  <c r="A191" i="12"/>
  <c r="V190" i="12"/>
  <c r="U190" i="12"/>
  <c r="T190" i="12"/>
  <c r="S190" i="12"/>
  <c r="R190" i="12"/>
  <c r="Q190" i="12"/>
  <c r="P190" i="12"/>
  <c r="AF184" i="12"/>
  <c r="AE184" i="12"/>
  <c r="AD184" i="12"/>
  <c r="AB184" i="12"/>
  <c r="AA184" i="12"/>
  <c r="B184" i="12"/>
  <c r="Z184" i="12" s="1"/>
  <c r="A184" i="12"/>
  <c r="AD183" i="12"/>
  <c r="AC183" i="12"/>
  <c r="AB183" i="12"/>
  <c r="AA183" i="12"/>
  <c r="Z183" i="12"/>
  <c r="Y183" i="12"/>
  <c r="B183" i="12"/>
  <c r="AF183" i="12" s="1"/>
  <c r="A183" i="12"/>
  <c r="B182" i="12"/>
  <c r="AA182" i="12" s="1"/>
  <c r="A182" i="12"/>
  <c r="Z181" i="12"/>
  <c r="Y181" i="12"/>
  <c r="B181" i="12"/>
  <c r="A181" i="12"/>
  <c r="AF180" i="12"/>
  <c r="B180" i="12"/>
  <c r="A180" i="12"/>
  <c r="AF179" i="12"/>
  <c r="AE179" i="12"/>
  <c r="AD179" i="12"/>
  <c r="AC179" i="12"/>
  <c r="AB179" i="12"/>
  <c r="AA179" i="12"/>
  <c r="Z179" i="12"/>
  <c r="B179" i="12"/>
  <c r="Y179" i="12" s="1"/>
  <c r="A179" i="12"/>
  <c r="B178" i="12"/>
  <c r="Z178" i="12" s="1"/>
  <c r="A178" i="12"/>
  <c r="AA177" i="12"/>
  <c r="B177" i="12"/>
  <c r="AB177" i="12" s="1"/>
  <c r="A177" i="12"/>
  <c r="B176" i="12"/>
  <c r="Z176" i="12" s="1"/>
  <c r="A176" i="12"/>
  <c r="B175" i="12"/>
  <c r="Z175" i="12" s="1"/>
  <c r="A175" i="12"/>
  <c r="B174" i="12"/>
  <c r="AE174" i="12" s="1"/>
  <c r="A174" i="12"/>
  <c r="AC173" i="12"/>
  <c r="AB173" i="12"/>
  <c r="AA173" i="12"/>
  <c r="B173" i="12"/>
  <c r="Y173" i="12" s="1"/>
  <c r="A173" i="12"/>
  <c r="B172" i="12"/>
  <c r="Z172" i="12" s="1"/>
  <c r="A172" i="12"/>
  <c r="B171" i="12"/>
  <c r="A171" i="12"/>
  <c r="B170" i="12"/>
  <c r="AB170" i="12" s="1"/>
  <c r="A170" i="12"/>
  <c r="B169" i="12"/>
  <c r="A169" i="12"/>
  <c r="B168" i="12"/>
  <c r="AE168" i="12" s="1"/>
  <c r="A168" i="12"/>
  <c r="AE167" i="12"/>
  <c r="B167" i="12"/>
  <c r="Y167" i="12" s="1"/>
  <c r="A167" i="12"/>
  <c r="AB166" i="12"/>
  <c r="AA166" i="12"/>
  <c r="B166" i="12"/>
  <c r="Z166" i="12" s="1"/>
  <c r="A166" i="12"/>
  <c r="AA165" i="12"/>
  <c r="Z165" i="12"/>
  <c r="B165" i="12"/>
  <c r="AC165" i="12" s="1"/>
  <c r="A165" i="12"/>
  <c r="B164" i="12"/>
  <c r="A164" i="12"/>
  <c r="B163" i="12"/>
  <c r="Z163" i="12" s="1"/>
  <c r="A163" i="12"/>
  <c r="B162" i="12"/>
  <c r="A162" i="12"/>
  <c r="AE161" i="12"/>
  <c r="AD161" i="12"/>
  <c r="AC161" i="12"/>
  <c r="AB161" i="12"/>
  <c r="B161" i="12"/>
  <c r="Y161" i="12" s="1"/>
  <c r="A161" i="12"/>
  <c r="B160" i="12"/>
  <c r="Z160" i="12" s="1"/>
  <c r="A160" i="12"/>
  <c r="B159" i="12"/>
  <c r="AA159" i="12" s="1"/>
  <c r="A159" i="12"/>
  <c r="B158" i="12"/>
  <c r="AB158" i="12" s="1"/>
  <c r="A158" i="12"/>
  <c r="B157" i="12"/>
  <c r="Z157" i="12" s="1"/>
  <c r="A157" i="12"/>
  <c r="B156" i="12"/>
  <c r="AE156" i="12" s="1"/>
  <c r="A156" i="12"/>
  <c r="B155" i="12"/>
  <c r="Y155" i="12" s="1"/>
  <c r="A155" i="12"/>
  <c r="AE154" i="12"/>
  <c r="AD154" i="12"/>
  <c r="AB154" i="12"/>
  <c r="AA154" i="12"/>
  <c r="B154" i="12"/>
  <c r="Z154" i="12" s="1"/>
  <c r="A154" i="12"/>
  <c r="AD153" i="12"/>
  <c r="AC153" i="12"/>
  <c r="B153" i="12"/>
  <c r="AB153" i="12" s="1"/>
  <c r="A153" i="12"/>
  <c r="AB152" i="12"/>
  <c r="B152" i="12"/>
  <c r="AA152" i="12" s="1"/>
  <c r="A152" i="12"/>
  <c r="B151" i="12"/>
  <c r="Y151" i="12" s="1"/>
  <c r="A151" i="12"/>
  <c r="B150" i="12"/>
  <c r="A150" i="12"/>
  <c r="B149" i="12"/>
  <c r="A149" i="12"/>
  <c r="B148" i="12"/>
  <c r="Z148" i="12" s="1"/>
  <c r="A148" i="12"/>
  <c r="AD147" i="12"/>
  <c r="AB147" i="12"/>
  <c r="AA147" i="12"/>
  <c r="B147" i="12"/>
  <c r="AC147" i="12" s="1"/>
  <c r="A147" i="12"/>
  <c r="B146" i="12"/>
  <c r="AB146" i="12" s="1"/>
  <c r="A146" i="12"/>
  <c r="B145" i="12"/>
  <c r="A145" i="12"/>
  <c r="AE144" i="12"/>
  <c r="AD144" i="12"/>
  <c r="AC144" i="12"/>
  <c r="AB144" i="12"/>
  <c r="AA144" i="12"/>
  <c r="Z144" i="12"/>
  <c r="Y144" i="12"/>
  <c r="Y138" i="12"/>
  <c r="X138" i="12"/>
  <c r="W138" i="12"/>
  <c r="V138" i="12"/>
  <c r="U138" i="12"/>
  <c r="T138" i="12"/>
  <c r="B138" i="12"/>
  <c r="S138" i="12" s="1"/>
  <c r="A138" i="12"/>
  <c r="W137" i="12"/>
  <c r="V137" i="12"/>
  <c r="U137" i="12"/>
  <c r="S137" i="12"/>
  <c r="B137" i="12"/>
  <c r="A137" i="12"/>
  <c r="Y136" i="12"/>
  <c r="U136" i="12"/>
  <c r="T136" i="12"/>
  <c r="S136" i="12"/>
  <c r="B136" i="12"/>
  <c r="Z136" i="12" s="1"/>
  <c r="A136" i="12"/>
  <c r="Z135" i="12"/>
  <c r="B135" i="12"/>
  <c r="A135" i="12"/>
  <c r="Z134" i="12"/>
  <c r="Y134" i="12"/>
  <c r="X134" i="12"/>
  <c r="W134" i="12"/>
  <c r="V134" i="12"/>
  <c r="U134" i="12"/>
  <c r="T134" i="12"/>
  <c r="S134" i="12"/>
  <c r="B134" i="12"/>
  <c r="A134" i="12"/>
  <c r="Z133" i="12"/>
  <c r="Y133" i="12"/>
  <c r="X133" i="12"/>
  <c r="W133" i="12"/>
  <c r="V133" i="12"/>
  <c r="U133" i="12"/>
  <c r="T133" i="12"/>
  <c r="S133" i="12"/>
  <c r="B133" i="12"/>
  <c r="A133" i="12"/>
  <c r="Y132" i="12"/>
  <c r="B132" i="12"/>
  <c r="S132" i="12" s="1"/>
  <c r="A132" i="12"/>
  <c r="B131" i="12"/>
  <c r="W131" i="12" s="1"/>
  <c r="A131" i="12"/>
  <c r="B130" i="12"/>
  <c r="S130" i="12" s="1"/>
  <c r="A130" i="12"/>
  <c r="S129" i="12"/>
  <c r="B129" i="12"/>
  <c r="A129" i="12"/>
  <c r="Y128" i="12"/>
  <c r="X128" i="12"/>
  <c r="B128" i="12"/>
  <c r="W128" i="12" s="1"/>
  <c r="A128" i="12"/>
  <c r="Y127" i="12"/>
  <c r="V127" i="12"/>
  <c r="B127" i="12"/>
  <c r="X127" i="12" s="1"/>
  <c r="A127" i="12"/>
  <c r="B126" i="12"/>
  <c r="A126" i="12"/>
  <c r="B125" i="12"/>
  <c r="A125" i="12"/>
  <c r="Y124" i="12"/>
  <c r="U124" i="12"/>
  <c r="T124" i="12"/>
  <c r="S124" i="12"/>
  <c r="B124" i="12"/>
  <c r="A124" i="12"/>
  <c r="B123" i="12"/>
  <c r="S123" i="12" s="1"/>
  <c r="A123" i="12"/>
  <c r="B122" i="12"/>
  <c r="S122" i="12" s="1"/>
  <c r="A122" i="12"/>
  <c r="B121" i="12"/>
  <c r="X121" i="12" s="1"/>
  <c r="A121" i="12"/>
  <c r="W120" i="12"/>
  <c r="B120" i="12"/>
  <c r="S120" i="12" s="1"/>
  <c r="A120" i="12"/>
  <c r="U119" i="12"/>
  <c r="B119" i="12"/>
  <c r="S119" i="12" s="1"/>
  <c r="A119" i="12"/>
  <c r="Y118" i="12"/>
  <c r="U118" i="12"/>
  <c r="B118" i="12"/>
  <c r="A118" i="12"/>
  <c r="B117" i="12"/>
  <c r="A117" i="12"/>
  <c r="Y116" i="12"/>
  <c r="H17" i="12" s="1"/>
  <c r="V116" i="12"/>
  <c r="B116" i="12"/>
  <c r="X116" i="12" s="1"/>
  <c r="A116" i="12"/>
  <c r="Y115" i="12"/>
  <c r="W115" i="12"/>
  <c r="T115" i="12"/>
  <c r="B115" i="12"/>
  <c r="X115" i="12" s="1"/>
  <c r="A115" i="12"/>
  <c r="B114" i="12"/>
  <c r="S114" i="12" s="1"/>
  <c r="A114" i="12"/>
  <c r="W113" i="12"/>
  <c r="B113" i="12"/>
  <c r="V113" i="12" s="1"/>
  <c r="A113" i="12"/>
  <c r="U112" i="12"/>
  <c r="B112" i="12"/>
  <c r="Y112" i="12" s="1"/>
  <c r="A112" i="12"/>
  <c r="S111" i="12"/>
  <c r="B111" i="12"/>
  <c r="A111" i="12"/>
  <c r="B110" i="12"/>
  <c r="T110" i="12" s="1"/>
  <c r="A110" i="12"/>
  <c r="W109" i="12"/>
  <c r="V109" i="12"/>
  <c r="S109" i="12"/>
  <c r="Z109" i="12" s="1"/>
  <c r="B109" i="12"/>
  <c r="Y109" i="12" s="1"/>
  <c r="A109" i="12"/>
  <c r="W108" i="12"/>
  <c r="B108" i="12"/>
  <c r="S108" i="12" s="1"/>
  <c r="A108" i="12"/>
  <c r="B107" i="12"/>
  <c r="A107" i="12"/>
  <c r="S106" i="12"/>
  <c r="B106" i="12"/>
  <c r="A106" i="12"/>
  <c r="B105" i="12"/>
  <c r="S105" i="12" s="1"/>
  <c r="A105" i="12"/>
  <c r="B104" i="12"/>
  <c r="W104" i="12" s="1"/>
  <c r="A104" i="12"/>
  <c r="B103" i="12"/>
  <c r="A103" i="12"/>
  <c r="B102" i="12"/>
  <c r="S102" i="12" s="1"/>
  <c r="A102" i="12"/>
  <c r="U101" i="12"/>
  <c r="S101" i="12"/>
  <c r="B101" i="12"/>
  <c r="W101" i="12" s="1"/>
  <c r="A101" i="12"/>
  <c r="B100" i="12"/>
  <c r="A100" i="12"/>
  <c r="B99" i="12"/>
  <c r="A99" i="12"/>
  <c r="Y98" i="12"/>
  <c r="X98" i="12"/>
  <c r="W98" i="12"/>
  <c r="V98" i="12"/>
  <c r="U98" i="12"/>
  <c r="T98" i="12"/>
  <c r="S98" i="12"/>
  <c r="AD92" i="12"/>
  <c r="AC92" i="12"/>
  <c r="AB92" i="12"/>
  <c r="AA92" i="12"/>
  <c r="Z92" i="12"/>
  <c r="Y92" i="12"/>
  <c r="B92" i="12"/>
  <c r="AF92" i="12" s="1"/>
  <c r="A92" i="12"/>
  <c r="AB91" i="12"/>
  <c r="AA91" i="12"/>
  <c r="Z91" i="12"/>
  <c r="B91" i="12"/>
  <c r="A91" i="12"/>
  <c r="Z90" i="12"/>
  <c r="B90" i="12"/>
  <c r="A90" i="12"/>
  <c r="AE89" i="12"/>
  <c r="B89" i="12"/>
  <c r="A89" i="12"/>
  <c r="AF88" i="12"/>
  <c r="AE88" i="12"/>
  <c r="AD88" i="12"/>
  <c r="AC88" i="12"/>
  <c r="AB88" i="12"/>
  <c r="AA88" i="12"/>
  <c r="Z88" i="12"/>
  <c r="B88" i="12"/>
  <c r="Y88" i="12" s="1"/>
  <c r="A88" i="12"/>
  <c r="AF87" i="12"/>
  <c r="AE87" i="12"/>
  <c r="AD87" i="12"/>
  <c r="AB87" i="12"/>
  <c r="AA87" i="12"/>
  <c r="B87" i="12"/>
  <c r="Z87" i="12" s="1"/>
  <c r="A87" i="12"/>
  <c r="B86" i="12"/>
  <c r="A86" i="12"/>
  <c r="B85" i="12"/>
  <c r="Z85" i="12" s="1"/>
  <c r="A85" i="12"/>
  <c r="B84" i="12"/>
  <c r="A84" i="12"/>
  <c r="B83" i="12"/>
  <c r="A83" i="12"/>
  <c r="B82" i="12"/>
  <c r="Y82" i="12" s="1"/>
  <c r="A82" i="12"/>
  <c r="AE81" i="12"/>
  <c r="AB81" i="12"/>
  <c r="AA81" i="12"/>
  <c r="B81" i="12"/>
  <c r="Z81" i="12" s="1"/>
  <c r="A81" i="12"/>
  <c r="Z80" i="12"/>
  <c r="B80" i="12"/>
  <c r="AB80" i="12" s="1"/>
  <c r="A80" i="12"/>
  <c r="B79" i="12"/>
  <c r="AB79" i="12" s="1"/>
  <c r="A79" i="12"/>
  <c r="B78" i="12"/>
  <c r="Z78" i="12" s="1"/>
  <c r="A78" i="12"/>
  <c r="B77" i="12"/>
  <c r="A77" i="12"/>
  <c r="AE76" i="12"/>
  <c r="AB76" i="12"/>
  <c r="B76" i="12"/>
  <c r="Y76" i="12" s="1"/>
  <c r="A76" i="12"/>
  <c r="B75" i="12"/>
  <c r="Z75" i="12" s="1"/>
  <c r="A75" i="12"/>
  <c r="AD74" i="12"/>
  <c r="B74" i="12"/>
  <c r="AA74" i="12" s="1"/>
  <c r="A74" i="12"/>
  <c r="B73" i="12"/>
  <c r="A73" i="12"/>
  <c r="B72" i="12"/>
  <c r="Z72" i="12" s="1"/>
  <c r="A72" i="12"/>
  <c r="B71" i="12"/>
  <c r="A71" i="12"/>
  <c r="AE70" i="12"/>
  <c r="G17" i="12" s="1"/>
  <c r="AA70" i="12"/>
  <c r="Z70" i="12"/>
  <c r="B70" i="12"/>
  <c r="Y70" i="12" s="1"/>
  <c r="A70" i="12"/>
  <c r="AE69" i="12"/>
  <c r="AA69" i="12"/>
  <c r="B69" i="12"/>
  <c r="Z69" i="12" s="1"/>
  <c r="A69" i="12"/>
  <c r="AB68" i="12"/>
  <c r="B68" i="12"/>
  <c r="Z68" i="12" s="1"/>
  <c r="A68" i="12"/>
  <c r="AB67" i="12"/>
  <c r="AA67" i="12"/>
  <c r="B67" i="12"/>
  <c r="A67" i="12"/>
  <c r="B66" i="12"/>
  <c r="Y66" i="12" s="1"/>
  <c r="A66" i="12"/>
  <c r="B65" i="12"/>
  <c r="A65" i="12"/>
  <c r="B64" i="12"/>
  <c r="Z64" i="12" s="1"/>
  <c r="A64" i="12"/>
  <c r="B63" i="12"/>
  <c r="Z63" i="12" s="1"/>
  <c r="A63" i="12"/>
  <c r="AC62" i="12"/>
  <c r="B62" i="12"/>
  <c r="AD62" i="12" s="1"/>
  <c r="A62" i="12"/>
  <c r="B61" i="12"/>
  <c r="AB61" i="12" s="1"/>
  <c r="A61" i="12"/>
  <c r="B60" i="12"/>
  <c r="A60" i="12"/>
  <c r="AE59" i="12"/>
  <c r="B59" i="12"/>
  <c r="A59" i="12"/>
  <c r="AA58" i="12"/>
  <c r="B58" i="12"/>
  <c r="Y58" i="12" s="1"/>
  <c r="A58" i="12"/>
  <c r="AE57" i="12"/>
  <c r="B57" i="12"/>
  <c r="Z57" i="12" s="1"/>
  <c r="A57" i="12"/>
  <c r="B56" i="12"/>
  <c r="Y56" i="12" s="1"/>
  <c r="A56" i="12"/>
  <c r="B55" i="12"/>
  <c r="AA55" i="12" s="1"/>
  <c r="A55" i="12"/>
  <c r="B54" i="12"/>
  <c r="Z54" i="12" s="1"/>
  <c r="A54" i="12"/>
  <c r="B53" i="12"/>
  <c r="A53" i="12"/>
  <c r="AE52" i="12"/>
  <c r="AD52" i="12"/>
  <c r="AC52" i="12"/>
  <c r="AB52" i="12"/>
  <c r="AA52" i="12"/>
  <c r="Z52" i="12"/>
  <c r="Y52" i="12"/>
  <c r="J17" i="12"/>
  <c r="I17" i="12"/>
  <c r="F17" i="12"/>
  <c r="J16" i="12"/>
  <c r="I16" i="12"/>
  <c r="H16" i="12"/>
  <c r="F16" i="12"/>
  <c r="J15" i="12"/>
  <c r="I15" i="12"/>
  <c r="H15" i="12"/>
  <c r="F15" i="12"/>
  <c r="J14" i="12"/>
  <c r="I14" i="12"/>
  <c r="H14" i="12"/>
  <c r="F14" i="12"/>
  <c r="J13" i="12"/>
  <c r="I13" i="12"/>
  <c r="F13" i="12"/>
  <c r="J12" i="12"/>
  <c r="I12" i="12"/>
  <c r="F12" i="12"/>
  <c r="J11" i="12"/>
  <c r="I11" i="12"/>
  <c r="F11" i="12"/>
  <c r="E7" i="12"/>
  <c r="D7" i="12"/>
  <c r="C7" i="12"/>
  <c r="B7" i="12"/>
  <c r="A7" i="12"/>
  <c r="A5" i="12"/>
  <c r="H11" i="11" s="1"/>
  <c r="J2" i="12"/>
  <c r="H2" i="12"/>
  <c r="F2" i="12"/>
  <c r="D2" i="12"/>
  <c r="B2" i="12"/>
  <c r="A1" i="12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N16" i="11"/>
  <c r="H16" i="11"/>
  <c r="G16" i="11"/>
  <c r="F16" i="11"/>
  <c r="E16" i="11"/>
  <c r="D16" i="11"/>
  <c r="C16" i="11"/>
  <c r="A16" i="11"/>
  <c r="N15" i="11"/>
  <c r="G15" i="11"/>
  <c r="F15" i="11"/>
  <c r="E15" i="11"/>
  <c r="D15" i="11"/>
  <c r="C15" i="11"/>
  <c r="A15" i="11"/>
  <c r="N14" i="11"/>
  <c r="G14" i="11"/>
  <c r="F14" i="11"/>
  <c r="E14" i="11"/>
  <c r="D14" i="11"/>
  <c r="C14" i="11"/>
  <c r="A14" i="11"/>
  <c r="N13" i="11"/>
  <c r="G13" i="11"/>
  <c r="F13" i="11"/>
  <c r="E13" i="11"/>
  <c r="D13" i="11"/>
  <c r="C13" i="11"/>
  <c r="A13" i="11"/>
  <c r="N12" i="11"/>
  <c r="G12" i="11"/>
  <c r="F12" i="11"/>
  <c r="E12" i="11"/>
  <c r="D12" i="11"/>
  <c r="C12" i="11"/>
  <c r="A12" i="11"/>
  <c r="N11" i="11"/>
  <c r="G11" i="11"/>
  <c r="F11" i="11"/>
  <c r="E11" i="11"/>
  <c r="D11" i="11"/>
  <c r="C11" i="11"/>
  <c r="A11" i="11"/>
  <c r="A6" i="11"/>
  <c r="A10" i="1" s="1"/>
  <c r="D3" i="11"/>
  <c r="C3" i="11"/>
  <c r="B3" i="11"/>
  <c r="A3" i="11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B16" i="11" s="1"/>
  <c r="I8" i="10"/>
  <c r="H8" i="10"/>
  <c r="B15" i="11" s="1"/>
  <c r="I7" i="10"/>
  <c r="H7" i="10"/>
  <c r="B14" i="11" s="1"/>
  <c r="I6" i="10"/>
  <c r="H6" i="10"/>
  <c r="B13" i="11" s="1"/>
  <c r="I5" i="10"/>
  <c r="H5" i="10"/>
  <c r="B12" i="11" s="1"/>
  <c r="I4" i="10"/>
  <c r="H4" i="10"/>
  <c r="B11" i="11" s="1"/>
  <c r="A1" i="2"/>
  <c r="G7" i="1"/>
  <c r="E7" i="1"/>
  <c r="C7" i="1"/>
  <c r="A7" i="1"/>
  <c r="G4" i="1"/>
  <c r="E4" i="1"/>
  <c r="C4" i="1"/>
  <c r="A4" i="1"/>
  <c r="T123" i="17" l="1"/>
  <c r="Y168" i="17"/>
  <c r="T193" i="17"/>
  <c r="X104" i="17"/>
  <c r="Q202" i="17"/>
  <c r="V99" i="17"/>
  <c r="V117" i="17"/>
  <c r="Y123" i="17"/>
  <c r="AB168" i="17"/>
  <c r="T202" i="17"/>
  <c r="V214" i="17"/>
  <c r="V111" i="17"/>
  <c r="X99" i="17"/>
  <c r="T105" i="17"/>
  <c r="W111" i="17"/>
  <c r="Y117" i="17"/>
  <c r="S121" i="17"/>
  <c r="AD157" i="17"/>
  <c r="AA162" i="17"/>
  <c r="AD168" i="17"/>
  <c r="V202" i="17"/>
  <c r="R207" i="17"/>
  <c r="U218" i="17"/>
  <c r="T214" i="17"/>
  <c r="W123" i="17"/>
  <c r="AA168" i="17"/>
  <c r="P198" i="17"/>
  <c r="U214" i="17"/>
  <c r="T102" i="17"/>
  <c r="T111" i="17"/>
  <c r="Q218" i="17"/>
  <c r="K16" i="17"/>
  <c r="W99" i="17"/>
  <c r="X117" i="17"/>
  <c r="AA157" i="17"/>
  <c r="AC168" i="17"/>
  <c r="U202" i="17"/>
  <c r="V204" i="17"/>
  <c r="T218" i="17"/>
  <c r="Y99" i="17"/>
  <c r="V105" i="17"/>
  <c r="X111" i="17"/>
  <c r="V121" i="17"/>
  <c r="AA150" i="17"/>
  <c r="Y154" i="17"/>
  <c r="AB162" i="17"/>
  <c r="AE168" i="17"/>
  <c r="U211" i="17"/>
  <c r="V218" i="17"/>
  <c r="Y111" i="17"/>
  <c r="W218" i="17"/>
  <c r="X105" i="17"/>
  <c r="U108" i="17"/>
  <c r="T116" i="17"/>
  <c r="Y121" i="17"/>
  <c r="AD162" i="17"/>
  <c r="V191" i="17"/>
  <c r="U196" i="17"/>
  <c r="S200" i="17"/>
  <c r="S216" i="17"/>
  <c r="S112" i="17"/>
  <c r="W116" i="17"/>
  <c r="S119" i="17"/>
  <c r="S126" i="17"/>
  <c r="P204" i="17"/>
  <c r="W204" i="17" s="1"/>
  <c r="U216" i="17"/>
  <c r="X112" i="17"/>
  <c r="R206" i="17"/>
  <c r="S117" i="16"/>
  <c r="S125" i="16"/>
  <c r="J11" i="16"/>
  <c r="AA76" i="16"/>
  <c r="Z69" i="16"/>
  <c r="Q197" i="16"/>
  <c r="Q202" i="16"/>
  <c r="R223" i="16"/>
  <c r="H12" i="16"/>
  <c r="K12" i="16" s="1"/>
  <c r="X125" i="16"/>
  <c r="Q215" i="16"/>
  <c r="I15" i="16"/>
  <c r="Y57" i="16"/>
  <c r="AD59" i="16"/>
  <c r="AE63" i="16"/>
  <c r="AA67" i="16"/>
  <c r="AC85" i="16"/>
  <c r="U100" i="16"/>
  <c r="U106" i="16"/>
  <c r="T111" i="16"/>
  <c r="T115" i="16"/>
  <c r="S124" i="16"/>
  <c r="Y125" i="16"/>
  <c r="V128" i="16"/>
  <c r="AE160" i="16"/>
  <c r="AA175" i="16"/>
  <c r="Z177" i="16"/>
  <c r="R191" i="16"/>
  <c r="S197" i="16"/>
  <c r="S202" i="16"/>
  <c r="R215" i="16"/>
  <c r="V223" i="16"/>
  <c r="J12" i="16"/>
  <c r="J15" i="16"/>
  <c r="AB57" i="16"/>
  <c r="AE59" i="16"/>
  <c r="AB67" i="16"/>
  <c r="AB82" i="16"/>
  <c r="AD85" i="16"/>
  <c r="V100" i="16"/>
  <c r="S104" i="16"/>
  <c r="V106" i="16"/>
  <c r="U108" i="16"/>
  <c r="U111" i="16"/>
  <c r="U115" i="16"/>
  <c r="T122" i="16"/>
  <c r="T124" i="16"/>
  <c r="Y128" i="16"/>
  <c r="Z146" i="16"/>
  <c r="AA158" i="16"/>
  <c r="Z168" i="16"/>
  <c r="Y172" i="16"/>
  <c r="AB175" i="16"/>
  <c r="AB177" i="16"/>
  <c r="S191" i="16"/>
  <c r="T197" i="16"/>
  <c r="U202" i="16"/>
  <c r="S215" i="16"/>
  <c r="W223" i="16"/>
  <c r="I17" i="16"/>
  <c r="X123" i="16"/>
  <c r="J17" i="16"/>
  <c r="Z85" i="16"/>
  <c r="V117" i="16"/>
  <c r="AB59" i="16"/>
  <c r="S106" i="16"/>
  <c r="P191" i="16"/>
  <c r="U211" i="16"/>
  <c r="H15" i="16"/>
  <c r="AC59" i="16"/>
  <c r="AA164" i="16"/>
  <c r="Z175" i="16"/>
  <c r="Q191" i="16"/>
  <c r="V211" i="16"/>
  <c r="I12" i="16"/>
  <c r="AE69" i="16"/>
  <c r="AE164" i="16"/>
  <c r="AD57" i="16"/>
  <c r="AE85" i="16"/>
  <c r="U104" i="16"/>
  <c r="W106" i="16"/>
  <c r="W108" i="16"/>
  <c r="W115" i="16"/>
  <c r="U122" i="16"/>
  <c r="U124" i="16"/>
  <c r="AA146" i="16"/>
  <c r="AB158" i="16"/>
  <c r="AC168" i="16"/>
  <c r="AB172" i="16"/>
  <c r="AC175" i="16"/>
  <c r="AC177" i="16"/>
  <c r="T191" i="16"/>
  <c r="U197" i="16"/>
  <c r="T215" i="16"/>
  <c r="I14" i="16"/>
  <c r="Z59" i="16"/>
  <c r="J14" i="16"/>
  <c r="AA59" i="16"/>
  <c r="P202" i="16"/>
  <c r="AB63" i="16"/>
  <c r="AA85" i="16"/>
  <c r="W117" i="16"/>
  <c r="W125" i="16"/>
  <c r="AD63" i="16"/>
  <c r="AD69" i="16"/>
  <c r="AB85" i="16"/>
  <c r="T106" i="16"/>
  <c r="X117" i="16"/>
  <c r="Y168" i="16"/>
  <c r="AC67" i="16"/>
  <c r="W100" i="16"/>
  <c r="V111" i="16"/>
  <c r="H13" i="16"/>
  <c r="H16" i="16"/>
  <c r="AE57" i="16"/>
  <c r="G17" i="16"/>
  <c r="K17" i="16" s="1"/>
  <c r="AD67" i="16"/>
  <c r="AD74" i="16"/>
  <c r="AF85" i="16"/>
  <c r="X100" i="16"/>
  <c r="V104" i="16"/>
  <c r="X106" i="16"/>
  <c r="X108" i="16"/>
  <c r="W111" i="16"/>
  <c r="U113" i="16"/>
  <c r="Y115" i="16"/>
  <c r="V122" i="16"/>
  <c r="V124" i="16"/>
  <c r="W126" i="16"/>
  <c r="S131" i="16"/>
  <c r="Z150" i="16"/>
  <c r="AD154" i="16"/>
  <c r="AD158" i="16"/>
  <c r="AE172" i="16"/>
  <c r="AD177" i="16"/>
  <c r="U191" i="16"/>
  <c r="T194" i="16"/>
  <c r="V197" i="16"/>
  <c r="Q200" i="16"/>
  <c r="P210" i="16"/>
  <c r="U215" i="16"/>
  <c r="I11" i="16"/>
  <c r="Z174" i="16"/>
  <c r="Y123" i="16"/>
  <c r="V125" i="16"/>
  <c r="AA152" i="16"/>
  <c r="Y160" i="16"/>
  <c r="T128" i="16"/>
  <c r="AB160" i="16"/>
  <c r="T100" i="16"/>
  <c r="S111" i="16"/>
  <c r="U128" i="16"/>
  <c r="AD160" i="16"/>
  <c r="I16" i="16"/>
  <c r="AE67" i="16"/>
  <c r="Y100" i="16"/>
  <c r="W124" i="16"/>
  <c r="AE177" i="16"/>
  <c r="V215" i="16"/>
  <c r="J13" i="16"/>
  <c r="J16" i="16"/>
  <c r="AD54" i="16"/>
  <c r="Y65" i="16"/>
  <c r="Y104" i="16"/>
  <c r="W113" i="16"/>
  <c r="Y122" i="16"/>
  <c r="X124" i="16"/>
  <c r="Y126" i="16"/>
  <c r="V131" i="16"/>
  <c r="Y162" i="16"/>
  <c r="AB166" i="16"/>
  <c r="AF177" i="16"/>
  <c r="T210" i="16"/>
  <c r="I13" i="16"/>
  <c r="X113" i="16"/>
  <c r="W131" i="16"/>
  <c r="Z162" i="16"/>
  <c r="AD166" i="16"/>
  <c r="AB176" i="16"/>
  <c r="P192" i="16"/>
  <c r="U210" i="16"/>
  <c r="Y101" i="15"/>
  <c r="Y145" i="15"/>
  <c r="AB164" i="15"/>
  <c r="AA72" i="15"/>
  <c r="AE154" i="15"/>
  <c r="P207" i="15"/>
  <c r="U218" i="15"/>
  <c r="AC55" i="15"/>
  <c r="Y151" i="15"/>
  <c r="U210" i="15"/>
  <c r="AE148" i="15"/>
  <c r="Y168" i="15"/>
  <c r="R207" i="15"/>
  <c r="V210" i="15"/>
  <c r="AE145" i="15"/>
  <c r="V191" i="15"/>
  <c r="R203" i="15"/>
  <c r="AD73" i="15"/>
  <c r="AB168" i="15"/>
  <c r="U200" i="15"/>
  <c r="AD77" i="15"/>
  <c r="X117" i="15"/>
  <c r="AE157" i="15"/>
  <c r="T115" i="15"/>
  <c r="R218" i="15"/>
  <c r="AA145" i="15"/>
  <c r="AD174" i="15"/>
  <c r="AE69" i="15"/>
  <c r="Y84" i="15"/>
  <c r="AD145" i="15"/>
  <c r="T191" i="15"/>
  <c r="Z53" i="15"/>
  <c r="AC59" i="15"/>
  <c r="AA66" i="15"/>
  <c r="W106" i="15"/>
  <c r="Z155" i="15"/>
  <c r="AA168" i="15"/>
  <c r="S207" i="15"/>
  <c r="AB53" i="15"/>
  <c r="AD151" i="15"/>
  <c r="P196" i="15"/>
  <c r="P223" i="15"/>
  <c r="AC162" i="15"/>
  <c r="Y59" i="15"/>
  <c r="AB69" i="15"/>
  <c r="AC164" i="15"/>
  <c r="T202" i="15"/>
  <c r="R214" i="15"/>
  <c r="AB145" i="15"/>
  <c r="S191" i="15"/>
  <c r="Y66" i="15"/>
  <c r="AA151" i="15"/>
  <c r="Y106" i="15"/>
  <c r="W128" i="15"/>
  <c r="AA155" i="15"/>
  <c r="AA165" i="15"/>
  <c r="AB60" i="15"/>
  <c r="AE77" i="15"/>
  <c r="AB82" i="15"/>
  <c r="W103" i="15"/>
  <c r="T114" i="15"/>
  <c r="AC146" i="15"/>
  <c r="AC165" i="15"/>
  <c r="AA176" i="15"/>
  <c r="R196" i="15"/>
  <c r="AB54" i="15"/>
  <c r="AE60" i="15"/>
  <c r="AB65" i="15"/>
  <c r="AD71" i="15"/>
  <c r="AD82" i="15"/>
  <c r="V100" i="15"/>
  <c r="Y103" i="15"/>
  <c r="X114" i="15"/>
  <c r="V118" i="15"/>
  <c r="U122" i="15"/>
  <c r="AC150" i="15"/>
  <c r="Y156" i="15"/>
  <c r="AC176" i="15"/>
  <c r="S201" i="15"/>
  <c r="Y115" i="15"/>
  <c r="AA148" i="15"/>
  <c r="T210" i="15"/>
  <c r="Z59" i="15"/>
  <c r="AB148" i="15"/>
  <c r="AD164" i="15"/>
  <c r="AA84" i="15"/>
  <c r="U102" i="15"/>
  <c r="AE164" i="15"/>
  <c r="V113" i="15"/>
  <c r="V128" i="15"/>
  <c r="AB151" i="15"/>
  <c r="Q219" i="15"/>
  <c r="AB66" i="15"/>
  <c r="U110" i="15"/>
  <c r="AD157" i="15"/>
  <c r="AE56" i="15"/>
  <c r="AD66" i="15"/>
  <c r="T124" i="15"/>
  <c r="AE151" i="15"/>
  <c r="Z162" i="15"/>
  <c r="Z176" i="15"/>
  <c r="Q196" i="15"/>
  <c r="Q216" i="15"/>
  <c r="AD85" i="15"/>
  <c r="R192" i="15"/>
  <c r="AA54" i="15"/>
  <c r="AD60" i="15"/>
  <c r="AC71" i="15"/>
  <c r="AE74" i="15"/>
  <c r="AC82" i="15"/>
  <c r="X103" i="15"/>
  <c r="U114" i="15"/>
  <c r="S122" i="15"/>
  <c r="AB150" i="15"/>
  <c r="AD172" i="15"/>
  <c r="AB176" i="15"/>
  <c r="Q201" i="15"/>
  <c r="AD54" i="15"/>
  <c r="AC65" i="15"/>
  <c r="AE71" i="15"/>
  <c r="W118" i="15"/>
  <c r="AD150" i="15"/>
  <c r="Z156" i="15"/>
  <c r="AD176" i="15"/>
  <c r="T201" i="15"/>
  <c r="Y62" i="14"/>
  <c r="S111" i="14"/>
  <c r="W113" i="14"/>
  <c r="Z162" i="14"/>
  <c r="P194" i="14"/>
  <c r="AA62" i="14"/>
  <c r="X113" i="14"/>
  <c r="AA164" i="14"/>
  <c r="U194" i="14"/>
  <c r="AC54" i="14"/>
  <c r="AE67" i="14"/>
  <c r="AA85" i="14"/>
  <c r="V101" i="14"/>
  <c r="T130" i="14"/>
  <c r="AD164" i="14"/>
  <c r="T201" i="14"/>
  <c r="Y59" i="14"/>
  <c r="AD62" i="14"/>
  <c r="Y66" i="14"/>
  <c r="AB82" i="14"/>
  <c r="AB85" i="14"/>
  <c r="W101" i="14"/>
  <c r="Y105" i="14"/>
  <c r="T121" i="14"/>
  <c r="V126" i="14"/>
  <c r="V130" i="14"/>
  <c r="AE164" i="14"/>
  <c r="Z177" i="14"/>
  <c r="R199" i="14"/>
  <c r="V201" i="14"/>
  <c r="R212" i="14"/>
  <c r="S216" i="14"/>
  <c r="Q221" i="14"/>
  <c r="AE62" i="14"/>
  <c r="Z66" i="14"/>
  <c r="AF66" i="14" s="1"/>
  <c r="Y72" i="14"/>
  <c r="Y77" i="14"/>
  <c r="AD82" i="14"/>
  <c r="X101" i="14"/>
  <c r="T112" i="14"/>
  <c r="Z112" i="14" s="1"/>
  <c r="U121" i="14"/>
  <c r="W130" i="14"/>
  <c r="AB157" i="14"/>
  <c r="Y163" i="14"/>
  <c r="AC177" i="14"/>
  <c r="S199" i="14"/>
  <c r="P210" i="14"/>
  <c r="T212" i="14"/>
  <c r="T216" i="14"/>
  <c r="Q219" i="14"/>
  <c r="K11" i="14"/>
  <c r="K14" i="14"/>
  <c r="AA66" i="14"/>
  <c r="AA77" i="14"/>
  <c r="AE82" i="14"/>
  <c r="Y101" i="14"/>
  <c r="U112" i="14"/>
  <c r="U114" i="14"/>
  <c r="W118" i="14"/>
  <c r="X130" i="14"/>
  <c r="AC157" i="14"/>
  <c r="Z163" i="14"/>
  <c r="AB169" i="14"/>
  <c r="U199" i="14"/>
  <c r="Q210" i="14"/>
  <c r="U216" i="14"/>
  <c r="T219" i="14"/>
  <c r="AD67" i="14"/>
  <c r="AC62" i="14"/>
  <c r="U126" i="14"/>
  <c r="P216" i="14"/>
  <c r="W112" i="14"/>
  <c r="AE172" i="14"/>
  <c r="S192" i="14"/>
  <c r="Q222" i="14"/>
  <c r="AD66" i="14"/>
  <c r="Y78" i="14"/>
  <c r="X119" i="14"/>
  <c r="V125" i="14"/>
  <c r="AB145" i="14"/>
  <c r="AC163" i="14"/>
  <c r="AE169" i="14"/>
  <c r="P220" i="14"/>
  <c r="S222" i="14"/>
  <c r="AC65" i="14"/>
  <c r="AA67" i="14"/>
  <c r="T101" i="14"/>
  <c r="AA162" i="14"/>
  <c r="AB66" i="14"/>
  <c r="Y130" i="14"/>
  <c r="AD157" i="14"/>
  <c r="AA163" i="14"/>
  <c r="AF163" i="14" s="1"/>
  <c r="V199" i="14"/>
  <c r="V216" i="14"/>
  <c r="Z53" i="14"/>
  <c r="AA57" i="14"/>
  <c r="AE66" i="14"/>
  <c r="AA70" i="14"/>
  <c r="Z78" i="14"/>
  <c r="W100" i="14"/>
  <c r="T107" i="14"/>
  <c r="U110" i="14"/>
  <c r="Y112" i="14"/>
  <c r="U115" i="14"/>
  <c r="T123" i="14"/>
  <c r="W125" i="14"/>
  <c r="S131" i="14"/>
  <c r="AC145" i="14"/>
  <c r="AD161" i="14"/>
  <c r="AD163" i="14"/>
  <c r="P200" i="14"/>
  <c r="Q203" i="14"/>
  <c r="R211" i="14"/>
  <c r="P217" i="14"/>
  <c r="Q220" i="14"/>
  <c r="T222" i="14"/>
  <c r="Y113" i="14"/>
  <c r="V223" i="14"/>
  <c r="V112" i="14"/>
  <c r="S125" i="14"/>
  <c r="AE157" i="14"/>
  <c r="AB163" i="14"/>
  <c r="S107" i="14"/>
  <c r="S110" i="14"/>
  <c r="X112" i="14"/>
  <c r="AA53" i="14"/>
  <c r="AE57" i="14"/>
  <c r="V107" i="14"/>
  <c r="X115" i="14"/>
  <c r="X125" i="14"/>
  <c r="T131" i="14"/>
  <c r="AD145" i="14"/>
  <c r="T200" i="14"/>
  <c r="S211" i="14"/>
  <c r="R217" i="14"/>
  <c r="U222" i="14"/>
  <c r="K15" i="13"/>
  <c r="AC60" i="13"/>
  <c r="AE68" i="13"/>
  <c r="AC74" i="13"/>
  <c r="Z78" i="13"/>
  <c r="AC84" i="13"/>
  <c r="Y106" i="13"/>
  <c r="W111" i="13"/>
  <c r="U124" i="13"/>
  <c r="T128" i="13"/>
  <c r="Y147" i="13"/>
  <c r="AE149" i="13"/>
  <c r="AC158" i="13"/>
  <c r="Y161" i="13"/>
  <c r="AE176" i="13"/>
  <c r="R198" i="13"/>
  <c r="R207" i="13"/>
  <c r="Q210" i="13"/>
  <c r="Z54" i="13"/>
  <c r="AD60" i="13"/>
  <c r="Y67" i="13"/>
  <c r="AD74" i="13"/>
  <c r="AA78" i="13"/>
  <c r="AD84" i="13"/>
  <c r="U100" i="13"/>
  <c r="T104" i="13"/>
  <c r="X111" i="13"/>
  <c r="V124" i="13"/>
  <c r="AA147" i="13"/>
  <c r="AD158" i="13"/>
  <c r="AE161" i="13"/>
  <c r="Y170" i="13"/>
  <c r="T198" i="13"/>
  <c r="R210" i="13"/>
  <c r="S123" i="13"/>
  <c r="Y158" i="13"/>
  <c r="AA171" i="13"/>
  <c r="Y149" i="13"/>
  <c r="Z158" i="13"/>
  <c r="AB176" i="13"/>
  <c r="S220" i="13"/>
  <c r="AE171" i="13"/>
  <c r="AC176" i="13"/>
  <c r="V215" i="13"/>
  <c r="AC54" i="13"/>
  <c r="Y58" i="13"/>
  <c r="AC67" i="13"/>
  <c r="AD78" i="13"/>
  <c r="X100" i="13"/>
  <c r="Y124" i="13"/>
  <c r="S129" i="13"/>
  <c r="AC147" i="13"/>
  <c r="AB150" i="13"/>
  <c r="AC170" i="13"/>
  <c r="V198" i="13"/>
  <c r="V210" i="13"/>
  <c r="AA149" i="13"/>
  <c r="R191" i="13"/>
  <c r="AD54" i="13"/>
  <c r="Z58" i="13"/>
  <c r="AD67" i="13"/>
  <c r="AA73" i="13"/>
  <c r="AE78" i="13"/>
  <c r="Y100" i="13"/>
  <c r="V112" i="13"/>
  <c r="T129" i="13"/>
  <c r="Z145" i="13"/>
  <c r="AD147" i="13"/>
  <c r="AC150" i="13"/>
  <c r="AD152" i="13"/>
  <c r="AD170" i="13"/>
  <c r="S191" i="13"/>
  <c r="U204" i="13"/>
  <c r="R214" i="13"/>
  <c r="AA68" i="13"/>
  <c r="Z84" i="13"/>
  <c r="X119" i="13"/>
  <c r="AB171" i="13"/>
  <c r="AA84" i="13"/>
  <c r="Y119" i="13"/>
  <c r="Y130" i="13"/>
  <c r="Z149" i="13"/>
  <c r="AA158" i="13"/>
  <c r="Q213" i="13"/>
  <c r="T220" i="13"/>
  <c r="Y74" i="13"/>
  <c r="AB84" i="13"/>
  <c r="AE54" i="13"/>
  <c r="AA58" i="13"/>
  <c r="AE67" i="13"/>
  <c r="Y70" i="13"/>
  <c r="AB73" i="13"/>
  <c r="AA83" i="13"/>
  <c r="S105" i="13"/>
  <c r="X112" i="13"/>
  <c r="U129" i="13"/>
  <c r="AA145" i="13"/>
  <c r="AE152" i="13"/>
  <c r="AC159" i="13"/>
  <c r="AE170" i="13"/>
  <c r="V191" i="13"/>
  <c r="V204" i="13"/>
  <c r="S214" i="13"/>
  <c r="Y68" i="13"/>
  <c r="AB68" i="13"/>
  <c r="Z60" i="13"/>
  <c r="AD68" i="13"/>
  <c r="V111" i="13"/>
  <c r="AB158" i="13"/>
  <c r="AD176" i="13"/>
  <c r="Q198" i="13"/>
  <c r="R213" i="13"/>
  <c r="U220" i="13"/>
  <c r="AE60" i="13"/>
  <c r="AE74" i="13"/>
  <c r="AC78" i="13"/>
  <c r="AE84" i="13"/>
  <c r="X124" i="13"/>
  <c r="AB147" i="13"/>
  <c r="AE158" i="13"/>
  <c r="U198" i="13"/>
  <c r="U210" i="13"/>
  <c r="Z66" i="13"/>
  <c r="T105" i="13"/>
  <c r="V129" i="13"/>
  <c r="AD145" i="13"/>
  <c r="AD159" i="13"/>
  <c r="Z163" i="13"/>
  <c r="U196" i="13"/>
  <c r="R209" i="13"/>
  <c r="T214" i="13"/>
  <c r="AD81" i="12"/>
  <c r="T104" i="12"/>
  <c r="X109" i="12"/>
  <c r="Y121" i="12"/>
  <c r="AD177" i="12"/>
  <c r="S195" i="12"/>
  <c r="R201" i="12"/>
  <c r="G11" i="12"/>
  <c r="U104" i="12"/>
  <c r="T195" i="12"/>
  <c r="S201" i="12"/>
  <c r="G12" i="12"/>
  <c r="V104" i="12"/>
  <c r="U195" i="12"/>
  <c r="T201" i="12"/>
  <c r="G15" i="12"/>
  <c r="AC68" i="12"/>
  <c r="AB70" i="12"/>
  <c r="V101" i="12"/>
  <c r="X104" i="12"/>
  <c r="X108" i="12"/>
  <c r="W116" i="12"/>
  <c r="V119" i="12"/>
  <c r="T122" i="12"/>
  <c r="Z155" i="12"/>
  <c r="AF155" i="12" s="1"/>
  <c r="AD166" i="12"/>
  <c r="S193" i="12"/>
  <c r="V199" i="12"/>
  <c r="U201" i="12"/>
  <c r="V205" i="12"/>
  <c r="T211" i="12"/>
  <c r="AD68" i="12"/>
  <c r="AC70" i="12"/>
  <c r="AE82" i="12"/>
  <c r="Y104" i="12"/>
  <c r="Y108" i="12"/>
  <c r="U122" i="12"/>
  <c r="AA155" i="12"/>
  <c r="AD159" i="12"/>
  <c r="AE166" i="12"/>
  <c r="T193" i="12"/>
  <c r="V201" i="12"/>
  <c r="U211" i="12"/>
  <c r="AB155" i="12"/>
  <c r="P218" i="12"/>
  <c r="P222" i="12"/>
  <c r="V120" i="12"/>
  <c r="AC155" i="12"/>
  <c r="AE172" i="12"/>
  <c r="Q200" i="12"/>
  <c r="T218" i="12"/>
  <c r="R222" i="12"/>
  <c r="G13" i="12"/>
  <c r="AE155" i="12"/>
  <c r="U218" i="12"/>
  <c r="S222" i="12"/>
  <c r="AA62" i="12"/>
  <c r="AB69" i="12"/>
  <c r="AC76" i="12"/>
  <c r="T109" i="12"/>
  <c r="S112" i="12"/>
  <c r="U115" i="12"/>
  <c r="X120" i="12"/>
  <c r="W127" i="12"/>
  <c r="Y130" i="12"/>
  <c r="Y177" i="12"/>
  <c r="S200" i="12"/>
  <c r="V218" i="12"/>
  <c r="AB62" i="12"/>
  <c r="AD69" i="12"/>
  <c r="AD76" i="12"/>
  <c r="U109" i="12"/>
  <c r="T112" i="12"/>
  <c r="V115" i="12"/>
  <c r="Y120" i="12"/>
  <c r="Z177" i="12"/>
  <c r="G14" i="12"/>
  <c r="S104" i="12"/>
  <c r="R195" i="12"/>
  <c r="S198" i="12"/>
  <c r="P201" i="12"/>
  <c r="W201" i="12" s="1"/>
  <c r="S223" i="12"/>
  <c r="K15" i="17"/>
  <c r="K13" i="17"/>
  <c r="AF58" i="17"/>
  <c r="AF70" i="12"/>
  <c r="AF59" i="16"/>
  <c r="AB74" i="17"/>
  <c r="Y161" i="17"/>
  <c r="AF161" i="17" s="1"/>
  <c r="AA69" i="17"/>
  <c r="S101" i="17"/>
  <c r="Y109" i="17"/>
  <c r="U113" i="17"/>
  <c r="AA156" i="17"/>
  <c r="U101" i="17"/>
  <c r="S107" i="17"/>
  <c r="V124" i="17"/>
  <c r="Z153" i="17"/>
  <c r="Y155" i="17"/>
  <c r="AF155" i="17" s="1"/>
  <c r="T201" i="17"/>
  <c r="X124" i="17"/>
  <c r="Z148" i="17"/>
  <c r="AB167" i="17"/>
  <c r="Y69" i="17"/>
  <c r="Y167" i="17"/>
  <c r="S201" i="17"/>
  <c r="AD72" i="17"/>
  <c r="S118" i="17"/>
  <c r="Y65" i="17"/>
  <c r="Y71" i="17"/>
  <c r="AD151" i="17"/>
  <c r="AB153" i="17"/>
  <c r="Z155" i="17"/>
  <c r="AC156" i="17"/>
  <c r="Y165" i="17"/>
  <c r="P192" i="17"/>
  <c r="W192" i="17" s="1"/>
  <c r="U201" i="17"/>
  <c r="AA65" i="17"/>
  <c r="AF65" i="17" s="1"/>
  <c r="AA71" i="17"/>
  <c r="Z75" i="17"/>
  <c r="AE76" i="17"/>
  <c r="U110" i="17"/>
  <c r="X118" i="17"/>
  <c r="W120" i="17"/>
  <c r="Y124" i="17"/>
  <c r="AA145" i="17"/>
  <c r="AA148" i="17"/>
  <c r="AE151" i="17"/>
  <c r="AA155" i="17"/>
  <c r="AD156" i="17"/>
  <c r="AC161" i="17"/>
  <c r="AF162" i="17"/>
  <c r="Z165" i="17"/>
  <c r="AC167" i="17"/>
  <c r="AF168" i="17"/>
  <c r="R192" i="17"/>
  <c r="P197" i="17"/>
  <c r="V201" i="17"/>
  <c r="S203" i="17"/>
  <c r="P209" i="17"/>
  <c r="R213" i="17"/>
  <c r="U215" i="17"/>
  <c r="AA66" i="17"/>
  <c r="AA72" i="17"/>
  <c r="S113" i="17"/>
  <c r="Z113" i="17" s="1"/>
  <c r="X113" i="17"/>
  <c r="P203" i="17"/>
  <c r="AB65" i="17"/>
  <c r="AB71" i="17"/>
  <c r="AA75" i="17"/>
  <c r="AF76" i="17"/>
  <c r="W110" i="17"/>
  <c r="Y118" i="17"/>
  <c r="AB155" i="17"/>
  <c r="AE156" i="17"/>
  <c r="AD161" i="17"/>
  <c r="AB165" i="17"/>
  <c r="AD167" i="17"/>
  <c r="S197" i="17"/>
  <c r="U203" i="17"/>
  <c r="S213" i="17"/>
  <c r="P217" i="17"/>
  <c r="AE72" i="17"/>
  <c r="AB161" i="17"/>
  <c r="AC54" i="17"/>
  <c r="AA59" i="17"/>
  <c r="Z64" i="17"/>
  <c r="AF64" i="17" s="1"/>
  <c r="AC65" i="17"/>
  <c r="Z70" i="17"/>
  <c r="AF70" i="17" s="1"/>
  <c r="AC71" i="17"/>
  <c r="AB75" i="17"/>
  <c r="AC78" i="17"/>
  <c r="S100" i="17"/>
  <c r="T104" i="17"/>
  <c r="S108" i="17"/>
  <c r="V112" i="17"/>
  <c r="T117" i="17"/>
  <c r="V123" i="17"/>
  <c r="Y150" i="17"/>
  <c r="AF150" i="17" s="1"/>
  <c r="AC155" i="17"/>
  <c r="AE161" i="17"/>
  <c r="AE167" i="17"/>
  <c r="U197" i="17"/>
  <c r="V203" i="17"/>
  <c r="S211" i="17"/>
  <c r="T213" i="17"/>
  <c r="R217" i="17"/>
  <c r="AA167" i="17"/>
  <c r="AF167" i="17" s="1"/>
  <c r="AD65" i="17"/>
  <c r="AD71" i="17"/>
  <c r="AD155" i="17"/>
  <c r="V197" i="17"/>
  <c r="S217" i="17"/>
  <c r="AD66" i="17"/>
  <c r="AA161" i="17"/>
  <c r="Y53" i="17"/>
  <c r="AC59" i="17"/>
  <c r="AE65" i="17"/>
  <c r="AE71" i="17"/>
  <c r="Y77" i="17"/>
  <c r="X100" i="17"/>
  <c r="Y112" i="17"/>
  <c r="W117" i="17"/>
  <c r="X123" i="17"/>
  <c r="AC146" i="17"/>
  <c r="Y149" i="17"/>
  <c r="AB150" i="17"/>
  <c r="Z152" i="17"/>
  <c r="AE155" i="17"/>
  <c r="Y160" i="17"/>
  <c r="P191" i="17"/>
  <c r="P193" i="17"/>
  <c r="Q196" i="17"/>
  <c r="S202" i="17"/>
  <c r="T207" i="17"/>
  <c r="P210" i="17"/>
  <c r="V211" i="17"/>
  <c r="P216" i="17"/>
  <c r="T217" i="17"/>
  <c r="Y156" i="17"/>
  <c r="AF156" i="17" s="1"/>
  <c r="AB156" i="17"/>
  <c r="K17" i="17"/>
  <c r="AA53" i="17"/>
  <c r="AA77" i="17"/>
  <c r="AE146" i="17"/>
  <c r="Z149" i="17"/>
  <c r="AC152" i="17"/>
  <c r="S191" i="17"/>
  <c r="Q193" i="17"/>
  <c r="S196" i="17"/>
  <c r="Q210" i="17"/>
  <c r="P214" i="17"/>
  <c r="Q216" i="17"/>
  <c r="U217" i="17"/>
  <c r="S124" i="17"/>
  <c r="Z124" i="17" s="1"/>
  <c r="V118" i="17"/>
  <c r="AB53" i="17"/>
  <c r="AB77" i="17"/>
  <c r="T99" i="17"/>
  <c r="Y162" i="17"/>
  <c r="U191" i="17"/>
  <c r="T196" i="17"/>
  <c r="R216" i="17"/>
  <c r="V217" i="17"/>
  <c r="AF72" i="16"/>
  <c r="AF155" i="16"/>
  <c r="AE84" i="16"/>
  <c r="Y101" i="16"/>
  <c r="X118" i="16"/>
  <c r="W203" i="16"/>
  <c r="V216" i="16"/>
  <c r="V99" i="16"/>
  <c r="U107" i="16"/>
  <c r="Z107" i="16" s="1"/>
  <c r="Z111" i="16"/>
  <c r="Y118" i="16"/>
  <c r="U125" i="16"/>
  <c r="Z125" i="16" s="1"/>
  <c r="AB148" i="16"/>
  <c r="AB154" i="16"/>
  <c r="Y166" i="16"/>
  <c r="AF166" i="16" s="1"/>
  <c r="AD172" i="16"/>
  <c r="R192" i="16"/>
  <c r="W192" i="16" s="1"/>
  <c r="P197" i="16"/>
  <c r="W197" i="16" s="1"/>
  <c r="S198" i="16"/>
  <c r="W198" i="16" s="1"/>
  <c r="R210" i="16"/>
  <c r="W210" i="16" s="1"/>
  <c r="AD66" i="16"/>
  <c r="AB171" i="16"/>
  <c r="Q214" i="16"/>
  <c r="W214" i="16" s="1"/>
  <c r="S119" i="16"/>
  <c r="Z119" i="16" s="1"/>
  <c r="AC56" i="16"/>
  <c r="AB60" i="16"/>
  <c r="G14" i="16" s="1"/>
  <c r="AC71" i="16"/>
  <c r="Z73" i="16"/>
  <c r="AD75" i="16"/>
  <c r="AA84" i="16"/>
  <c r="U101" i="16"/>
  <c r="S105" i="16"/>
  <c r="Y106" i="16"/>
  <c r="U110" i="16"/>
  <c r="Z110" i="16" s="1"/>
  <c r="Y111" i="16"/>
  <c r="X114" i="16"/>
  <c r="T118" i="16"/>
  <c r="W119" i="16"/>
  <c r="T121" i="16"/>
  <c r="Y124" i="16"/>
  <c r="AE145" i="16"/>
  <c r="AE147" i="16"/>
  <c r="AA151" i="16"/>
  <c r="AE153" i="16"/>
  <c r="AA155" i="16"/>
  <c r="AE157" i="16"/>
  <c r="AC159" i="16"/>
  <c r="AF159" i="16" s="1"/>
  <c r="AC163" i="16"/>
  <c r="AD165" i="16"/>
  <c r="AE169" i="16"/>
  <c r="V191" i="16"/>
  <c r="R196" i="16"/>
  <c r="T199" i="16"/>
  <c r="S203" i="16"/>
  <c r="V204" i="16"/>
  <c r="V209" i="16"/>
  <c r="R216" i="16"/>
  <c r="V218" i="16"/>
  <c r="S221" i="16"/>
  <c r="V222" i="16"/>
  <c r="Z171" i="16"/>
  <c r="S127" i="16"/>
  <c r="Z157" i="16"/>
  <c r="R204" i="16"/>
  <c r="AC60" i="16"/>
  <c r="G15" i="16" s="1"/>
  <c r="K15" i="16" s="1"/>
  <c r="Z67" i="16"/>
  <c r="AF67" i="16" s="1"/>
  <c r="AD71" i="16"/>
  <c r="AE75" i="16"/>
  <c r="AB84" i="16"/>
  <c r="V101" i="16"/>
  <c r="T105" i="16"/>
  <c r="V110" i="16"/>
  <c r="S113" i="16"/>
  <c r="Z113" i="16" s="1"/>
  <c r="Y114" i="16"/>
  <c r="U118" i="16"/>
  <c r="X119" i="16"/>
  <c r="W121" i="16"/>
  <c r="AE151" i="16"/>
  <c r="AD155" i="16"/>
  <c r="AD159" i="16"/>
  <c r="AE163" i="16"/>
  <c r="AE165" i="16"/>
  <c r="S196" i="16"/>
  <c r="T203" i="16"/>
  <c r="S216" i="16"/>
  <c r="T221" i="16"/>
  <c r="AC66" i="16"/>
  <c r="S129" i="16"/>
  <c r="Z129" i="16" s="1"/>
  <c r="Z145" i="16"/>
  <c r="AF145" i="16" s="1"/>
  <c r="Z153" i="16"/>
  <c r="T212" i="16"/>
  <c r="Z56" i="16"/>
  <c r="AB64" i="16"/>
  <c r="AC77" i="16"/>
  <c r="U102" i="16"/>
  <c r="T127" i="16"/>
  <c r="V129" i="16"/>
  <c r="AB147" i="16"/>
  <c r="AA157" i="16"/>
  <c r="Z165" i="16"/>
  <c r="AC171" i="16"/>
  <c r="P203" i="16"/>
  <c r="S204" i="16"/>
  <c r="V212" i="16"/>
  <c r="P221" i="16"/>
  <c r="W221" i="16" s="1"/>
  <c r="S222" i="16"/>
  <c r="AA56" i="16"/>
  <c r="AD64" i="16"/>
  <c r="Z68" i="16"/>
  <c r="Y71" i="16"/>
  <c r="AD77" i="16"/>
  <c r="Y84" i="16"/>
  <c r="AF84" i="16" s="1"/>
  <c r="W99" i="16"/>
  <c r="U114" i="16"/>
  <c r="AB145" i="16"/>
  <c r="AC147" i="16"/>
  <c r="Y151" i="16"/>
  <c r="AC153" i="16"/>
  <c r="AB157" i="16"/>
  <c r="Z159" i="16"/>
  <c r="AD171" i="16"/>
  <c r="Q221" i="16"/>
  <c r="AF77" i="16"/>
  <c r="Z84" i="16"/>
  <c r="S101" i="16"/>
  <c r="Z101" i="16" s="1"/>
  <c r="AD147" i="16"/>
  <c r="Y155" i="16"/>
  <c r="AB159" i="16"/>
  <c r="AE171" i="16"/>
  <c r="S201" i="16"/>
  <c r="R203" i="16"/>
  <c r="U204" i="16"/>
  <c r="R221" i="16"/>
  <c r="AD60" i="16"/>
  <c r="G16" i="16" s="1"/>
  <c r="AF71" i="16"/>
  <c r="AC84" i="16"/>
  <c r="W101" i="16"/>
  <c r="W105" i="16"/>
  <c r="W110" i="16"/>
  <c r="V118" i="16"/>
  <c r="Y119" i="16"/>
  <c r="AE159" i="16"/>
  <c r="U196" i="16"/>
  <c r="U203" i="16"/>
  <c r="T216" i="16"/>
  <c r="U221" i="16"/>
  <c r="P204" i="16"/>
  <c r="W204" i="16" s="1"/>
  <c r="Q212" i="16"/>
  <c r="P214" i="16"/>
  <c r="P222" i="16"/>
  <c r="S102" i="16"/>
  <c r="Z102" i="16" s="1"/>
  <c r="Z147" i="16"/>
  <c r="R222" i="16"/>
  <c r="W222" i="16" s="1"/>
  <c r="AE66" i="16"/>
  <c r="AA145" i="16"/>
  <c r="AB153" i="16"/>
  <c r="AF153" i="16" s="1"/>
  <c r="Z163" i="16"/>
  <c r="R214" i="16"/>
  <c r="U119" i="16"/>
  <c r="W129" i="16"/>
  <c r="AA163" i="16"/>
  <c r="AB165" i="16"/>
  <c r="Y169" i="16"/>
  <c r="Q203" i="16"/>
  <c r="T204" i="16"/>
  <c r="T222" i="16"/>
  <c r="Y60" i="16"/>
  <c r="T110" i="16"/>
  <c r="S118" i="16"/>
  <c r="V119" i="16"/>
  <c r="AD153" i="16"/>
  <c r="AC165" i="16"/>
  <c r="P216" i="16"/>
  <c r="W216" i="16" s="1"/>
  <c r="U222" i="16"/>
  <c r="X101" i="16"/>
  <c r="U216" i="16"/>
  <c r="AC175" i="15"/>
  <c r="AE175" i="15"/>
  <c r="AD175" i="15"/>
  <c r="AB175" i="15"/>
  <c r="Z111" i="15"/>
  <c r="Y111" i="15"/>
  <c r="X111" i="15"/>
  <c r="W111" i="15"/>
  <c r="AC149" i="15"/>
  <c r="AB149" i="15"/>
  <c r="AF149" i="15" s="1"/>
  <c r="Z149" i="15"/>
  <c r="Z154" i="15"/>
  <c r="Y175" i="15"/>
  <c r="AD67" i="15"/>
  <c r="AD163" i="15"/>
  <c r="AB163" i="15"/>
  <c r="AC67" i="15"/>
  <c r="Z102" i="15"/>
  <c r="T111" i="15"/>
  <c r="AA175" i="15"/>
  <c r="P204" i="15"/>
  <c r="W204" i="15" s="1"/>
  <c r="U204" i="15"/>
  <c r="V204" i="15"/>
  <c r="T204" i="15"/>
  <c r="S204" i="15"/>
  <c r="R204" i="15"/>
  <c r="Q204" i="15"/>
  <c r="Y109" i="15"/>
  <c r="X109" i="15"/>
  <c r="W109" i="15"/>
  <c r="Y57" i="15"/>
  <c r="AD64" i="15"/>
  <c r="AC64" i="15"/>
  <c r="AB64" i="15"/>
  <c r="T121" i="15"/>
  <c r="Y131" i="15"/>
  <c r="X131" i="15"/>
  <c r="V131" i="15"/>
  <c r="AB161" i="15"/>
  <c r="AA161" i="15"/>
  <c r="Y161" i="15"/>
  <c r="T199" i="15"/>
  <c r="S205" i="15"/>
  <c r="Z64" i="15"/>
  <c r="X100" i="15"/>
  <c r="Y100" i="15"/>
  <c r="W100" i="15"/>
  <c r="Z100" i="15" s="1"/>
  <c r="U109" i="15"/>
  <c r="Z109" i="15" s="1"/>
  <c r="U121" i="15"/>
  <c r="X124" i="15"/>
  <c r="Y124" i="15"/>
  <c r="S131" i="15"/>
  <c r="AA152" i="15"/>
  <c r="AE167" i="15"/>
  <c r="AB167" i="15"/>
  <c r="AA167" i="15"/>
  <c r="Z167" i="15"/>
  <c r="Y173" i="15"/>
  <c r="AF173" i="15" s="1"/>
  <c r="P216" i="15"/>
  <c r="W216" i="15"/>
  <c r="V216" i="15"/>
  <c r="U216" i="15"/>
  <c r="T216" i="15"/>
  <c r="S216" i="15"/>
  <c r="AA64" i="15"/>
  <c r="V109" i="15"/>
  <c r="AD152" i="15"/>
  <c r="U209" i="15"/>
  <c r="W209" i="15"/>
  <c r="V209" i="15"/>
  <c r="T209" i="15"/>
  <c r="Z127" i="15"/>
  <c r="Y127" i="15"/>
  <c r="X127" i="15"/>
  <c r="W127" i="15"/>
  <c r="V127" i="15"/>
  <c r="U127" i="15"/>
  <c r="T127" i="15"/>
  <c r="Y166" i="15"/>
  <c r="AF166" i="15" s="1"/>
  <c r="AE57" i="15"/>
  <c r="AB57" i="15"/>
  <c r="AA57" i="15"/>
  <c r="S109" i="15"/>
  <c r="S127" i="15"/>
  <c r="R195" i="15"/>
  <c r="AA83" i="15"/>
  <c r="AE83" i="15"/>
  <c r="AB83" i="15"/>
  <c r="AD83" i="15"/>
  <c r="AC83" i="15"/>
  <c r="Z83" i="15"/>
  <c r="Y83" i="15"/>
  <c r="AF83" i="15" s="1"/>
  <c r="AA53" i="15"/>
  <c r="AE53" i="15"/>
  <c r="AD53" i="15"/>
  <c r="AC53" i="15"/>
  <c r="AD70" i="15"/>
  <c r="AB70" i="15"/>
  <c r="AC80" i="15"/>
  <c r="AF80" i="15" s="1"/>
  <c r="W124" i="15"/>
  <c r="Z124" i="15" s="1"/>
  <c r="Y128" i="15"/>
  <c r="AF153" i="15"/>
  <c r="T193" i="15"/>
  <c r="S193" i="15"/>
  <c r="S209" i="15"/>
  <c r="R220" i="15"/>
  <c r="P198" i="15"/>
  <c r="W198" i="15" s="1"/>
  <c r="V198" i="15"/>
  <c r="U198" i="15"/>
  <c r="T198" i="15"/>
  <c r="S198" i="15"/>
  <c r="R198" i="15"/>
  <c r="Q198" i="15"/>
  <c r="Y121" i="15"/>
  <c r="Z121" i="15"/>
  <c r="X121" i="15"/>
  <c r="W121" i="15"/>
  <c r="V121" i="15"/>
  <c r="V205" i="15"/>
  <c r="AC78" i="15"/>
  <c r="AD78" i="15"/>
  <c r="AE78" i="15"/>
  <c r="AB78" i="15"/>
  <c r="AA78" i="15"/>
  <c r="Y78" i="15"/>
  <c r="P205" i="15"/>
  <c r="W205" i="15" s="1"/>
  <c r="T109" i="15"/>
  <c r="AA59" i="15"/>
  <c r="AF59" i="15" s="1"/>
  <c r="AE59" i="15"/>
  <c r="AD59" i="15"/>
  <c r="AE80" i="15"/>
  <c r="AC84" i="15"/>
  <c r="AE84" i="15"/>
  <c r="AD84" i="15"/>
  <c r="AD158" i="15"/>
  <c r="AC158" i="15"/>
  <c r="AA158" i="15"/>
  <c r="P221" i="15"/>
  <c r="Y72" i="15"/>
  <c r="AF72" i="15" s="1"/>
  <c r="S113" i="15"/>
  <c r="S115" i="15"/>
  <c r="Z115" i="15" s="1"/>
  <c r="W117" i="15"/>
  <c r="AF156" i="15"/>
  <c r="AF176" i="15"/>
  <c r="Q192" i="15"/>
  <c r="W192" i="15" s="1"/>
  <c r="R202" i="15"/>
  <c r="P208" i="15"/>
  <c r="Q214" i="15"/>
  <c r="P219" i="15"/>
  <c r="R221" i="15"/>
  <c r="AC62" i="15"/>
  <c r="Y77" i="15"/>
  <c r="U123" i="15"/>
  <c r="S103" i="15"/>
  <c r="Z103" i="15" s="1"/>
  <c r="Y153" i="15"/>
  <c r="Y71" i="15"/>
  <c r="AD72" i="15"/>
  <c r="Z77" i="15"/>
  <c r="T103" i="15"/>
  <c r="V115" i="15"/>
  <c r="S120" i="15"/>
  <c r="W123" i="15"/>
  <c r="V125" i="15"/>
  <c r="T130" i="15"/>
  <c r="AC153" i="15"/>
  <c r="Y157" i="15"/>
  <c r="AF157" i="15" s="1"/>
  <c r="Y164" i="15"/>
  <c r="AF164" i="15" s="1"/>
  <c r="AA174" i="15"/>
  <c r="AA177" i="15"/>
  <c r="AF177" i="15" s="1"/>
  <c r="T192" i="15"/>
  <c r="Q194" i="15"/>
  <c r="T208" i="15"/>
  <c r="Q210" i="15"/>
  <c r="Q212" i="15"/>
  <c r="V214" i="15"/>
  <c r="T219" i="15"/>
  <c r="U223" i="15"/>
  <c r="AB72" i="15"/>
  <c r="U115" i="15"/>
  <c r="S192" i="15"/>
  <c r="P194" i="15"/>
  <c r="Y60" i="15"/>
  <c r="Y65" i="15"/>
  <c r="Z71" i="15"/>
  <c r="AE72" i="15"/>
  <c r="Y75" i="15"/>
  <c r="AF75" i="15" s="1"/>
  <c r="AB77" i="15"/>
  <c r="Z82" i="15"/>
  <c r="AA85" i="15"/>
  <c r="S101" i="15"/>
  <c r="Z101" i="15" s="1"/>
  <c r="U103" i="15"/>
  <c r="T106" i="15"/>
  <c r="W115" i="15"/>
  <c r="U120" i="15"/>
  <c r="Y123" i="15"/>
  <c r="X125" i="15"/>
  <c r="V130" i="15"/>
  <c r="Y148" i="15"/>
  <c r="AF148" i="15" s="1"/>
  <c r="Y150" i="15"/>
  <c r="AF150" i="15" s="1"/>
  <c r="AE153" i="15"/>
  <c r="AA157" i="15"/>
  <c r="AA159" i="15"/>
  <c r="Z164" i="15"/>
  <c r="Y170" i="15"/>
  <c r="AF170" i="15" s="1"/>
  <c r="Y172" i="15"/>
  <c r="AB174" i="15"/>
  <c r="U192" i="15"/>
  <c r="U194" i="15"/>
  <c r="S196" i="15"/>
  <c r="W196" i="15" s="1"/>
  <c r="U208" i="15"/>
  <c r="R210" i="15"/>
  <c r="U212" i="15"/>
  <c r="Q222" i="15"/>
  <c r="W222" i="15" s="1"/>
  <c r="V223" i="15"/>
  <c r="Z174" i="15"/>
  <c r="S208" i="15"/>
  <c r="P212" i="15"/>
  <c r="Y54" i="15"/>
  <c r="AA60" i="15"/>
  <c r="Z65" i="15"/>
  <c r="AE66" i="15"/>
  <c r="AB71" i="15"/>
  <c r="AC77" i="15"/>
  <c r="V106" i="15"/>
  <c r="T112" i="15"/>
  <c r="T118" i="15"/>
  <c r="W130" i="15"/>
  <c r="Z150" i="15"/>
  <c r="AB157" i="15"/>
  <c r="Q191" i="15"/>
  <c r="V192" i="15"/>
  <c r="V208" i="15"/>
  <c r="S210" i="15"/>
  <c r="R222" i="15"/>
  <c r="Y102" i="14"/>
  <c r="X102" i="14"/>
  <c r="V102" i="14"/>
  <c r="S102" i="14"/>
  <c r="Z102" i="14" s="1"/>
  <c r="W129" i="14"/>
  <c r="Z129" i="14" s="1"/>
  <c r="V129" i="14"/>
  <c r="K13" i="14"/>
  <c r="K16" i="14"/>
  <c r="AE60" i="14"/>
  <c r="AD60" i="14"/>
  <c r="AC60" i="14"/>
  <c r="AA60" i="14"/>
  <c r="Z60" i="14"/>
  <c r="AE70" i="14"/>
  <c r="S129" i="14"/>
  <c r="AF151" i="14"/>
  <c r="AE151" i="14"/>
  <c r="AD151" i="14"/>
  <c r="AC151" i="14"/>
  <c r="AA151" i="14"/>
  <c r="Z151" i="14"/>
  <c r="Y161" i="14"/>
  <c r="R198" i="14"/>
  <c r="W198" i="14"/>
  <c r="V198" i="14"/>
  <c r="U198" i="14"/>
  <c r="T198" i="14"/>
  <c r="S198" i="14"/>
  <c r="T207" i="14"/>
  <c r="AD54" i="14"/>
  <c r="AE54" i="14"/>
  <c r="AB54" i="14"/>
  <c r="AA54" i="14"/>
  <c r="AE65" i="14"/>
  <c r="AD65" i="14"/>
  <c r="AB65" i="14"/>
  <c r="AF65" i="14" s="1"/>
  <c r="AA65" i="14"/>
  <c r="Z54" i="14"/>
  <c r="AF54" i="14" s="1"/>
  <c r="Y60" i="14"/>
  <c r="AF60" i="14" s="1"/>
  <c r="Z65" i="14"/>
  <c r="Z70" i="14"/>
  <c r="W111" i="14"/>
  <c r="X111" i="14"/>
  <c r="U111" i="14"/>
  <c r="T111" i="14"/>
  <c r="Z111" i="14" s="1"/>
  <c r="U119" i="14"/>
  <c r="W119" i="14"/>
  <c r="V119" i="14"/>
  <c r="S119" i="14"/>
  <c r="T119" i="14"/>
  <c r="T129" i="14"/>
  <c r="Y151" i="14"/>
  <c r="AD156" i="14"/>
  <c r="AB156" i="14"/>
  <c r="AB161" i="14"/>
  <c r="AB175" i="14"/>
  <c r="AA175" i="14"/>
  <c r="Y175" i="14"/>
  <c r="AF175" i="14" s="1"/>
  <c r="Z175" i="14"/>
  <c r="P198" i="14"/>
  <c r="V207" i="14"/>
  <c r="X109" i="14"/>
  <c r="W109" i="14"/>
  <c r="AC148" i="14"/>
  <c r="T103" i="14"/>
  <c r="X116" i="14"/>
  <c r="W116" i="14"/>
  <c r="Y116" i="14"/>
  <c r="U116" i="14"/>
  <c r="S116" i="14"/>
  <c r="Z116" i="14" s="1"/>
  <c r="S127" i="14"/>
  <c r="Z127" i="14" s="1"/>
  <c r="R195" i="14"/>
  <c r="T205" i="14"/>
  <c r="V205" i="14"/>
  <c r="U205" i="14"/>
  <c r="Y55" i="14"/>
  <c r="AD74" i="14"/>
  <c r="Z107" i="14"/>
  <c r="U109" i="14"/>
  <c r="V116" i="14"/>
  <c r="U127" i="14"/>
  <c r="P205" i="14"/>
  <c r="W205" i="14" s="1"/>
  <c r="Y120" i="14"/>
  <c r="V120" i="14"/>
  <c r="S120" i="14"/>
  <c r="Z120" i="14" s="1"/>
  <c r="AC153" i="14"/>
  <c r="AA153" i="14"/>
  <c r="R205" i="14"/>
  <c r="AC75" i="14"/>
  <c r="AB75" i="14"/>
  <c r="Z75" i="14"/>
  <c r="Y75" i="14"/>
  <c r="X120" i="14"/>
  <c r="Z153" i="14"/>
  <c r="T193" i="14"/>
  <c r="V193" i="14"/>
  <c r="U193" i="14"/>
  <c r="S193" i="14"/>
  <c r="S205" i="14"/>
  <c r="X122" i="14"/>
  <c r="Y122" i="14"/>
  <c r="U122" i="14"/>
  <c r="T122" i="14"/>
  <c r="W122" i="14"/>
  <c r="Z61" i="14"/>
  <c r="AD61" i="14"/>
  <c r="AC61" i="14"/>
  <c r="AB61" i="14"/>
  <c r="AC56" i="14"/>
  <c r="Y56" i="14"/>
  <c r="AF56" i="14" s="1"/>
  <c r="AE61" i="14"/>
  <c r="AE75" i="14"/>
  <c r="AB150" i="14"/>
  <c r="AA150" i="14"/>
  <c r="Y150" i="14"/>
  <c r="Z150" i="14"/>
  <c r="P193" i="14"/>
  <c r="W193" i="14" s="1"/>
  <c r="S103" i="14"/>
  <c r="AF58" i="14"/>
  <c r="AD58" i="14"/>
  <c r="AE58" i="14"/>
  <c r="AB58" i="14"/>
  <c r="AA58" i="14"/>
  <c r="S109" i="14"/>
  <c r="AC58" i="14"/>
  <c r="AA61" i="14"/>
  <c r="AB71" i="14"/>
  <c r="AD71" i="14"/>
  <c r="AC71" i="14"/>
  <c r="AA71" i="14"/>
  <c r="Z71" i="14"/>
  <c r="AE71" i="14"/>
  <c r="X127" i="14"/>
  <c r="AD56" i="14"/>
  <c r="AB84" i="14"/>
  <c r="AA84" i="14"/>
  <c r="Z84" i="14"/>
  <c r="Y84" i="14"/>
  <c r="S99" i="14"/>
  <c r="X105" i="14"/>
  <c r="W105" i="14"/>
  <c r="X128" i="14"/>
  <c r="Z128" i="14"/>
  <c r="U128" i="14"/>
  <c r="T128" i="14"/>
  <c r="S128" i="14"/>
  <c r="AD150" i="14"/>
  <c r="AA168" i="14"/>
  <c r="Z168" i="14"/>
  <c r="Y168" i="14"/>
  <c r="R193" i="14"/>
  <c r="R204" i="14"/>
  <c r="W204" i="14"/>
  <c r="V204" i="14"/>
  <c r="U204" i="14"/>
  <c r="T204" i="14"/>
  <c r="S204" i="14"/>
  <c r="Q204" i="14"/>
  <c r="P204" i="14"/>
  <c r="X104" i="14"/>
  <c r="Y104" i="14"/>
  <c r="W104" i="14"/>
  <c r="U104" i="14"/>
  <c r="T104" i="14"/>
  <c r="Z104" i="14"/>
  <c r="AB69" i="14"/>
  <c r="AF69" i="14" s="1"/>
  <c r="AA69" i="14"/>
  <c r="Z69" i="14"/>
  <c r="AF72" i="14"/>
  <c r="AE72" i="14"/>
  <c r="AD72" i="14"/>
  <c r="AC72" i="14"/>
  <c r="AA72" i="14"/>
  <c r="Z72" i="14"/>
  <c r="AC84" i="14"/>
  <c r="T105" i="14"/>
  <c r="V118" i="14"/>
  <c r="AF150" i="14"/>
  <c r="R210" i="14"/>
  <c r="W210" i="14"/>
  <c r="U210" i="14"/>
  <c r="T210" i="14"/>
  <c r="S210" i="14"/>
  <c r="T218" i="14"/>
  <c r="K12" i="14"/>
  <c r="P192" i="14"/>
  <c r="P202" i="14"/>
  <c r="R215" i="14"/>
  <c r="Y85" i="14"/>
  <c r="AF85" i="14" s="1"/>
  <c r="Z160" i="14"/>
  <c r="AB176" i="14"/>
  <c r="Q192" i="14"/>
  <c r="Q202" i="14"/>
  <c r="T192" i="14"/>
  <c r="S202" i="14"/>
  <c r="P223" i="14"/>
  <c r="K17" i="14"/>
  <c r="AC53" i="14"/>
  <c r="Y64" i="14"/>
  <c r="AF64" i="14" s="1"/>
  <c r="Y82" i="14"/>
  <c r="AF82" i="14" s="1"/>
  <c r="AC85" i="14"/>
  <c r="U108" i="14"/>
  <c r="S113" i="14"/>
  <c r="Z113" i="14" s="1"/>
  <c r="Y126" i="14"/>
  <c r="V131" i="14"/>
  <c r="Z131" i="14" s="1"/>
  <c r="Y145" i="14"/>
  <c r="AB154" i="14"/>
  <c r="Y157" i="14"/>
  <c r="AC158" i="14"/>
  <c r="AE160" i="14"/>
  <c r="Y169" i="14"/>
  <c r="AF169" i="14" s="1"/>
  <c r="AB170" i="14"/>
  <c r="AF170" i="14" s="1"/>
  <c r="AF176" i="14"/>
  <c r="U192" i="14"/>
  <c r="V196" i="14"/>
  <c r="R206" i="14"/>
  <c r="S209" i="14"/>
  <c r="S217" i="14"/>
  <c r="R223" i="14"/>
  <c r="Z64" i="14"/>
  <c r="Z82" i="14"/>
  <c r="AD85" i="14"/>
  <c r="V108" i="14"/>
  <c r="AC154" i="14"/>
  <c r="Z157" i="14"/>
  <c r="Z169" i="14"/>
  <c r="V192" i="14"/>
  <c r="S223" i="14"/>
  <c r="T113" i="14"/>
  <c r="Z145" i="14"/>
  <c r="K15" i="14"/>
  <c r="AE53" i="14"/>
  <c r="AB57" i="14"/>
  <c r="Z62" i="14"/>
  <c r="AF62" i="14" s="1"/>
  <c r="AA64" i="14"/>
  <c r="AB67" i="14"/>
  <c r="AB79" i="14"/>
  <c r="AE85" i="14"/>
  <c r="S101" i="14"/>
  <c r="Z101" i="14" s="1"/>
  <c r="Y108" i="14"/>
  <c r="T110" i="14"/>
  <c r="V113" i="14"/>
  <c r="T115" i="14"/>
  <c r="T125" i="14"/>
  <c r="Z125" i="14" s="1"/>
  <c r="U130" i="14"/>
  <c r="Z130" i="14" s="1"/>
  <c r="X131" i="14"/>
  <c r="AF154" i="14"/>
  <c r="AE158" i="14"/>
  <c r="AB164" i="14"/>
  <c r="AD170" i="14"/>
  <c r="W192" i="14"/>
  <c r="P199" i="14"/>
  <c r="P211" i="14"/>
  <c r="Q216" i="14"/>
  <c r="W216" i="14" s="1"/>
  <c r="V217" i="14"/>
  <c r="P222" i="14"/>
  <c r="W222" i="14" s="1"/>
  <c r="U223" i="14"/>
  <c r="Z80" i="13"/>
  <c r="AE80" i="13"/>
  <c r="AD80" i="13"/>
  <c r="AC80" i="13"/>
  <c r="AB80" i="13"/>
  <c r="AF80" i="13" s="1"/>
  <c r="Y175" i="13"/>
  <c r="AF175" i="13" s="1"/>
  <c r="AE175" i="13"/>
  <c r="AA175" i="13"/>
  <c r="AD175" i="13"/>
  <c r="AC175" i="13"/>
  <c r="Z175" i="13"/>
  <c r="Y77" i="13"/>
  <c r="AC77" i="13"/>
  <c r="AB77" i="13"/>
  <c r="Y80" i="13"/>
  <c r="Y169" i="13"/>
  <c r="AF169" i="13" s="1"/>
  <c r="AE169" i="13"/>
  <c r="AD169" i="13"/>
  <c r="AC169" i="13"/>
  <c r="S192" i="13"/>
  <c r="W192" i="13"/>
  <c r="V192" i="13"/>
  <c r="T192" i="13"/>
  <c r="Q192" i="13"/>
  <c r="U192" i="13"/>
  <c r="R192" i="13"/>
  <c r="V208" i="13"/>
  <c r="U208" i="13"/>
  <c r="T208" i="13"/>
  <c r="S208" i="13"/>
  <c r="Q208" i="13"/>
  <c r="W208" i="13" s="1"/>
  <c r="P208" i="13"/>
  <c r="R208" i="13"/>
  <c r="Z165" i="13"/>
  <c r="AF165" i="13" s="1"/>
  <c r="AE165" i="13"/>
  <c r="AD165" i="13"/>
  <c r="AC165" i="13"/>
  <c r="AB165" i="13"/>
  <c r="Y72" i="13"/>
  <c r="AF72" i="13" s="1"/>
  <c r="AE72" i="13"/>
  <c r="AD72" i="13"/>
  <c r="AB72" i="13"/>
  <c r="AA72" i="13"/>
  <c r="AC72" i="13"/>
  <c r="Z72" i="13"/>
  <c r="AA80" i="13"/>
  <c r="AA165" i="13"/>
  <c r="Z169" i="13"/>
  <c r="AF69" i="13"/>
  <c r="Q197" i="13"/>
  <c r="S197" i="13"/>
  <c r="W197" i="13"/>
  <c r="V197" i="13"/>
  <c r="R197" i="13"/>
  <c r="U197" i="13"/>
  <c r="S222" i="13"/>
  <c r="U222" i="13"/>
  <c r="V222" i="13"/>
  <c r="T222" i="13"/>
  <c r="R222" i="13"/>
  <c r="AC53" i="13"/>
  <c r="AB53" i="13"/>
  <c r="S99" i="13"/>
  <c r="AD167" i="13"/>
  <c r="AE167" i="13"/>
  <c r="AA167" i="13"/>
  <c r="Q201" i="13"/>
  <c r="Q222" i="13"/>
  <c r="W222" i="13" s="1"/>
  <c r="Y53" i="13"/>
  <c r="AF53" i="13" s="1"/>
  <c r="Z56" i="13"/>
  <c r="AF56" i="13" s="1"/>
  <c r="AE56" i="13"/>
  <c r="AC56" i="13"/>
  <c r="AB56" i="13"/>
  <c r="AD56" i="13"/>
  <c r="AE82" i="13"/>
  <c r="AA82" i="13"/>
  <c r="S109" i="13"/>
  <c r="T109" i="13"/>
  <c r="Z109" i="13" s="1"/>
  <c r="Y154" i="13"/>
  <c r="AF154" i="13" s="1"/>
  <c r="Y167" i="13"/>
  <c r="AF167" i="13" s="1"/>
  <c r="K17" i="13"/>
  <c r="AA53" i="13"/>
  <c r="V113" i="13"/>
  <c r="Y113" i="13"/>
  <c r="X113" i="13"/>
  <c r="W113" i="13"/>
  <c r="Y162" i="13"/>
  <c r="AF162" i="13" s="1"/>
  <c r="AB162" i="13"/>
  <c r="AA162" i="13"/>
  <c r="AF55" i="13"/>
  <c r="AE55" i="13"/>
  <c r="AD55" i="13"/>
  <c r="AC55" i="13"/>
  <c r="AB55" i="13"/>
  <c r="Z55" i="13"/>
  <c r="Y55" i="13"/>
  <c r="AA55" i="13"/>
  <c r="Z62" i="13"/>
  <c r="AE62" i="13"/>
  <c r="AD62" i="13"/>
  <c r="AB62" i="13"/>
  <c r="AC62" i="13"/>
  <c r="AA62" i="13"/>
  <c r="AF62" i="13" s="1"/>
  <c r="Y99" i="13"/>
  <c r="X99" i="13"/>
  <c r="V99" i="13"/>
  <c r="U99" i="13"/>
  <c r="Z99" i="13" s="1"/>
  <c r="W99" i="13"/>
  <c r="T118" i="13"/>
  <c r="Z118" i="13"/>
  <c r="X118" i="13"/>
  <c r="Y118" i="13"/>
  <c r="V118" i="13"/>
  <c r="Z167" i="13"/>
  <c r="AA56" i="13"/>
  <c r="Z82" i="13"/>
  <c r="AF82" i="13" s="1"/>
  <c r="T113" i="13"/>
  <c r="U118" i="13"/>
  <c r="AE64" i="13"/>
  <c r="AA64" i="13"/>
  <c r="AF79" i="13"/>
  <c r="AE79" i="13"/>
  <c r="AD79" i="13"/>
  <c r="AC79" i="13"/>
  <c r="AB79" i="13"/>
  <c r="AA79" i="13"/>
  <c r="Z79" i="13"/>
  <c r="Y79" i="13"/>
  <c r="AE164" i="13"/>
  <c r="AD164" i="13"/>
  <c r="AC164" i="13"/>
  <c r="AB164" i="13"/>
  <c r="AA164" i="13"/>
  <c r="Z164" i="13"/>
  <c r="Y164" i="13"/>
  <c r="AF164" i="13" s="1"/>
  <c r="Z146" i="13"/>
  <c r="AE146" i="13"/>
  <c r="AD146" i="13"/>
  <c r="AC146" i="13"/>
  <c r="AA146" i="13"/>
  <c r="AB146" i="13"/>
  <c r="Y146" i="13"/>
  <c r="AF146" i="13" s="1"/>
  <c r="Y64" i="13"/>
  <c r="AF64" i="13" s="1"/>
  <c r="Y123" i="13"/>
  <c r="Z123" i="13"/>
  <c r="X123" i="13"/>
  <c r="V123" i="13"/>
  <c r="U123" i="13"/>
  <c r="W123" i="13"/>
  <c r="Q203" i="13"/>
  <c r="S203" i="13"/>
  <c r="R203" i="13"/>
  <c r="V203" i="13"/>
  <c r="U203" i="13"/>
  <c r="T107" i="13"/>
  <c r="S127" i="13"/>
  <c r="Y153" i="13"/>
  <c r="AF153" i="13" s="1"/>
  <c r="Q216" i="13"/>
  <c r="Z61" i="13"/>
  <c r="AE66" i="13"/>
  <c r="Y75" i="13"/>
  <c r="T101" i="13"/>
  <c r="X105" i="13"/>
  <c r="U107" i="13"/>
  <c r="S117" i="13"/>
  <c r="Z117" i="13" s="1"/>
  <c r="T125" i="13"/>
  <c r="X129" i="13"/>
  <c r="AE147" i="13"/>
  <c r="AA153" i="13"/>
  <c r="Y155" i="13"/>
  <c r="AA157" i="13"/>
  <c r="Y173" i="13"/>
  <c r="P202" i="13"/>
  <c r="W202" i="13" s="1"/>
  <c r="V205" i="13"/>
  <c r="R216" i="13"/>
  <c r="Q219" i="13"/>
  <c r="Y61" i="13"/>
  <c r="AF61" i="13" s="1"/>
  <c r="Z157" i="13"/>
  <c r="AF157" i="13" s="1"/>
  <c r="K11" i="13"/>
  <c r="AA61" i="13"/>
  <c r="U101" i="13"/>
  <c r="Z105" i="13"/>
  <c r="W107" i="13"/>
  <c r="U112" i="13"/>
  <c r="T117" i="13"/>
  <c r="U125" i="13"/>
  <c r="Z129" i="13"/>
  <c r="AF147" i="13"/>
  <c r="Y152" i="13"/>
  <c r="AB153" i="13"/>
  <c r="Z155" i="13"/>
  <c r="AF155" i="13" s="1"/>
  <c r="AC157" i="13"/>
  <c r="Y171" i="13"/>
  <c r="Z173" i="13"/>
  <c r="AF173" i="13" s="1"/>
  <c r="P196" i="13"/>
  <c r="Q202" i="13"/>
  <c r="W214" i="13"/>
  <c r="T216" i="13"/>
  <c r="R221" i="13"/>
  <c r="K16" i="13"/>
  <c r="AB61" i="13"/>
  <c r="W101" i="13"/>
  <c r="X107" i="13"/>
  <c r="U117" i="13"/>
  <c r="W125" i="13"/>
  <c r="AC153" i="13"/>
  <c r="AA155" i="13"/>
  <c r="AD157" i="13"/>
  <c r="AA173" i="13"/>
  <c r="Q196" i="13"/>
  <c r="R202" i="13"/>
  <c r="U216" i="13"/>
  <c r="S221" i="13"/>
  <c r="AC61" i="13"/>
  <c r="X125" i="13"/>
  <c r="AE173" i="13"/>
  <c r="K14" i="13"/>
  <c r="X101" i="13"/>
  <c r="AD153" i="13"/>
  <c r="AE155" i="13"/>
  <c r="AE157" i="13"/>
  <c r="S202" i="13"/>
  <c r="V216" i="13"/>
  <c r="K12" i="13"/>
  <c r="AB54" i="13"/>
  <c r="AA60" i="13"/>
  <c r="AD61" i="13"/>
  <c r="Z67" i="13"/>
  <c r="AF67" i="13" s="1"/>
  <c r="AC68" i="13"/>
  <c r="AF68" i="13" s="1"/>
  <c r="AE70" i="13"/>
  <c r="AA74" i="13"/>
  <c r="Y76" i="13"/>
  <c r="AB78" i="13"/>
  <c r="AF78" i="13" s="1"/>
  <c r="Y101" i="13"/>
  <c r="U106" i="13"/>
  <c r="S111" i="13"/>
  <c r="Y112" i="13"/>
  <c r="Y114" i="13"/>
  <c r="W117" i="13"/>
  <c r="T119" i="13"/>
  <c r="Y125" i="13"/>
  <c r="U130" i="13"/>
  <c r="AC145" i="13"/>
  <c r="AB152" i="13"/>
  <c r="AE153" i="13"/>
  <c r="Y159" i="13"/>
  <c r="Z161" i="13"/>
  <c r="AF161" i="13" s="1"/>
  <c r="AA163" i="13"/>
  <c r="AB168" i="13"/>
  <c r="Z170" i="13"/>
  <c r="AF170" i="13" s="1"/>
  <c r="AC171" i="13"/>
  <c r="Y176" i="13"/>
  <c r="U191" i="13"/>
  <c r="S196" i="13"/>
  <c r="P200" i="13"/>
  <c r="W200" i="13" s="1"/>
  <c r="T202" i="13"/>
  <c r="Q204" i="13"/>
  <c r="T210" i="13"/>
  <c r="R215" i="13"/>
  <c r="P220" i="13"/>
  <c r="V221" i="13"/>
  <c r="Y107" i="13"/>
  <c r="V117" i="13"/>
  <c r="AB60" i="13"/>
  <c r="AE61" i="13"/>
  <c r="AB74" i="13"/>
  <c r="Z76" i="13"/>
  <c r="V106" i="13"/>
  <c r="T111" i="13"/>
  <c r="X117" i="13"/>
  <c r="U119" i="13"/>
  <c r="V130" i="13"/>
  <c r="AA159" i="13"/>
  <c r="AA161" i="13"/>
  <c r="AC163" i="13"/>
  <c r="AD171" i="13"/>
  <c r="Z176" i="13"/>
  <c r="T196" i="13"/>
  <c r="U202" i="13"/>
  <c r="R204" i="13"/>
  <c r="S215" i="13"/>
  <c r="Q220" i="13"/>
  <c r="AA76" i="13"/>
  <c r="X106" i="13"/>
  <c r="U111" i="13"/>
  <c r="W119" i="13"/>
  <c r="X130" i="13"/>
  <c r="AB159" i="13"/>
  <c r="T204" i="13"/>
  <c r="U215" i="13"/>
  <c r="R220" i="13"/>
  <c r="Z164" i="12"/>
  <c r="AB164" i="12"/>
  <c r="AB73" i="12"/>
  <c r="AA73" i="12"/>
  <c r="Z73" i="12"/>
  <c r="U103" i="12"/>
  <c r="T103" i="12"/>
  <c r="Z103" i="12" s="1"/>
  <c r="Y103" i="12"/>
  <c r="V103" i="12"/>
  <c r="S103" i="12"/>
  <c r="X103" i="12"/>
  <c r="W103" i="12"/>
  <c r="Y106" i="12"/>
  <c r="U106" i="12"/>
  <c r="T106" i="12"/>
  <c r="Z117" i="12"/>
  <c r="T212" i="12"/>
  <c r="S212" i="12"/>
  <c r="R212" i="12"/>
  <c r="Q212" i="12"/>
  <c r="P212" i="12"/>
  <c r="V212" i="12"/>
  <c r="W212" i="12"/>
  <c r="U212" i="12"/>
  <c r="S194" i="12"/>
  <c r="R194" i="12"/>
  <c r="Q194" i="12"/>
  <c r="T194" i="12"/>
  <c r="V194" i="12"/>
  <c r="U194" i="12"/>
  <c r="P194" i="12"/>
  <c r="W194" i="12" s="1"/>
  <c r="AB86" i="12"/>
  <c r="AA86" i="12"/>
  <c r="AC86" i="12"/>
  <c r="Z86" i="12"/>
  <c r="AD86" i="12"/>
  <c r="Y86" i="12"/>
  <c r="AF86" i="12" s="1"/>
  <c r="P192" i="12"/>
  <c r="T192" i="12"/>
  <c r="S192" i="12"/>
  <c r="Q219" i="12"/>
  <c r="V219" i="12"/>
  <c r="U219" i="12"/>
  <c r="T219" i="12"/>
  <c r="S219" i="12"/>
  <c r="R219" i="12"/>
  <c r="P219" i="12"/>
  <c r="W219" i="12"/>
  <c r="Y64" i="12"/>
  <c r="AC64" i="12"/>
  <c r="AB64" i="12"/>
  <c r="AE64" i="12"/>
  <c r="AD64" i="12"/>
  <c r="AA64" i="12"/>
  <c r="AF64" i="12" s="1"/>
  <c r="Z104" i="12"/>
  <c r="AF171" i="12"/>
  <c r="AB171" i="12"/>
  <c r="AA171" i="12"/>
  <c r="Z171" i="12"/>
  <c r="AD171" i="12"/>
  <c r="Y171" i="12"/>
  <c r="AC171" i="12"/>
  <c r="V221" i="12"/>
  <c r="R221" i="12"/>
  <c r="Q221" i="12"/>
  <c r="P221" i="12"/>
  <c r="W221" i="12" s="1"/>
  <c r="T210" i="12"/>
  <c r="S210" i="12"/>
  <c r="S126" i="12"/>
  <c r="W126" i="12"/>
  <c r="V126" i="12"/>
  <c r="U126" i="12"/>
  <c r="Y126" i="12"/>
  <c r="X126" i="12"/>
  <c r="T126" i="12"/>
  <c r="Z126" i="12" s="1"/>
  <c r="AB56" i="12"/>
  <c r="AA56" i="12"/>
  <c r="AC56" i="12"/>
  <c r="Z56" i="12"/>
  <c r="AD56" i="12"/>
  <c r="V203" i="12"/>
  <c r="R203" i="12"/>
  <c r="Q203" i="12"/>
  <c r="P203" i="12"/>
  <c r="W203" i="12" s="1"/>
  <c r="Y149" i="12"/>
  <c r="AF149" i="12" s="1"/>
  <c r="AC149" i="12"/>
  <c r="AB149" i="12"/>
  <c r="AA149" i="12"/>
  <c r="AD149" i="12"/>
  <c r="AE149" i="12"/>
  <c r="Z149" i="12"/>
  <c r="T102" i="12"/>
  <c r="V110" i="12"/>
  <c r="W114" i="12"/>
  <c r="S121" i="12"/>
  <c r="AD63" i="12"/>
  <c r="W122" i="12"/>
  <c r="T128" i="12"/>
  <c r="AD173" i="12"/>
  <c r="AA176" i="12"/>
  <c r="AA178" i="12"/>
  <c r="Q191" i="12"/>
  <c r="Q199" i="12"/>
  <c r="T200" i="12"/>
  <c r="W200" i="12" s="1"/>
  <c r="R204" i="12"/>
  <c r="P206" i="12"/>
  <c r="W206" i="12" s="1"/>
  <c r="Q209" i="12"/>
  <c r="Z158" i="12"/>
  <c r="AD160" i="12"/>
  <c r="AA148" i="12"/>
  <c r="Z82" i="12"/>
  <c r="T100" i="12"/>
  <c r="T121" i="12"/>
  <c r="S128" i="12"/>
  <c r="Z128" i="12" s="1"/>
  <c r="T132" i="12"/>
  <c r="Z132" i="12" s="1"/>
  <c r="AB148" i="12"/>
  <c r="Y159" i="12"/>
  <c r="AF159" i="12" s="1"/>
  <c r="P204" i="12"/>
  <c r="Z74" i="12"/>
  <c r="AC80" i="12"/>
  <c r="U100" i="12"/>
  <c r="V102" i="12"/>
  <c r="X110" i="12"/>
  <c r="Y114" i="12"/>
  <c r="U121" i="12"/>
  <c r="U132" i="12"/>
  <c r="AD148" i="12"/>
  <c r="AA167" i="12"/>
  <c r="Y78" i="12"/>
  <c r="AD80" i="12"/>
  <c r="AB82" i="12"/>
  <c r="AA85" i="12"/>
  <c r="Y100" i="12"/>
  <c r="W102" i="12"/>
  <c r="T108" i="12"/>
  <c r="Y110" i="12"/>
  <c r="S116" i="12"/>
  <c r="H11" i="12" s="1"/>
  <c r="K11" i="12" s="1"/>
  <c r="Z118" i="12"/>
  <c r="V121" i="12"/>
  <c r="X122" i="12"/>
  <c r="S127" i="12"/>
  <c r="U128" i="12"/>
  <c r="V132" i="12"/>
  <c r="AE148" i="12"/>
  <c r="Y153" i="12"/>
  <c r="AF153" i="12" s="1"/>
  <c r="Y163" i="12"/>
  <c r="AD165" i="12"/>
  <c r="AB167" i="12"/>
  <c r="AA170" i="12"/>
  <c r="AA172" i="12"/>
  <c r="AE173" i="12"/>
  <c r="AB176" i="12"/>
  <c r="AB178" i="12"/>
  <c r="R191" i="12"/>
  <c r="R199" i="12"/>
  <c r="U200" i="12"/>
  <c r="Q206" i="12"/>
  <c r="R209" i="12"/>
  <c r="P224" i="12"/>
  <c r="W224" i="12" s="1"/>
  <c r="AD75" i="12"/>
  <c r="AE75" i="12"/>
  <c r="S100" i="12"/>
  <c r="AE160" i="12"/>
  <c r="AC58" i="12"/>
  <c r="AB63" i="12"/>
  <c r="Y74" i="12"/>
  <c r="U102" i="12"/>
  <c r="AB165" i="12"/>
  <c r="Z167" i="12"/>
  <c r="P191" i="12"/>
  <c r="W191" i="12" s="1"/>
  <c r="Z55" i="12"/>
  <c r="AD58" i="12"/>
  <c r="AA82" i="12"/>
  <c r="Z159" i="12"/>
  <c r="Z170" i="12"/>
  <c r="AE58" i="12"/>
  <c r="AB55" i="12"/>
  <c r="AB57" i="12"/>
  <c r="Y62" i="12"/>
  <c r="AE65" i="12"/>
  <c r="AB74" i="12"/>
  <c r="Z76" i="12"/>
  <c r="AC82" i="12"/>
  <c r="AB85" i="12"/>
  <c r="X102" i="12"/>
  <c r="U108" i="12"/>
  <c r="T116" i="12"/>
  <c r="H12" i="12" s="1"/>
  <c r="K12" i="12" s="1"/>
  <c r="S118" i="12"/>
  <c r="T120" i="12"/>
  <c r="W121" i="12"/>
  <c r="Y122" i="12"/>
  <c r="T127" i="12"/>
  <c r="V128" i="12"/>
  <c r="T130" i="12"/>
  <c r="W132" i="12"/>
  <c r="Y147" i="12"/>
  <c r="AF147" i="12" s="1"/>
  <c r="AE150" i="12"/>
  <c r="Z153" i="12"/>
  <c r="AB159" i="12"/>
  <c r="Z161" i="12"/>
  <c r="AF161" i="12" s="1"/>
  <c r="AC167" i="12"/>
  <c r="AB172" i="12"/>
  <c r="AD178" i="12"/>
  <c r="V191" i="12"/>
  <c r="P197" i="12"/>
  <c r="S199" i="12"/>
  <c r="V200" i="12"/>
  <c r="R206" i="12"/>
  <c r="W215" i="12"/>
  <c r="Q224" i="12"/>
  <c r="U110" i="12"/>
  <c r="V114" i="12"/>
  <c r="AB58" i="12"/>
  <c r="AA63" i="12"/>
  <c r="AA80" i="12"/>
  <c r="W110" i="12"/>
  <c r="X114" i="12"/>
  <c r="W119" i="12"/>
  <c r="V122" i="12"/>
  <c r="Z122" i="12" s="1"/>
  <c r="P209" i="12"/>
  <c r="W209" i="12" s="1"/>
  <c r="AF68" i="12"/>
  <c r="AA57" i="12"/>
  <c r="AE63" i="12"/>
  <c r="Y68" i="12"/>
  <c r="AD57" i="12"/>
  <c r="Z62" i="12"/>
  <c r="AA68" i="12"/>
  <c r="AC74" i="12"/>
  <c r="AA76" i="12"/>
  <c r="AD82" i="12"/>
  <c r="Y102" i="12"/>
  <c r="V108" i="12"/>
  <c r="S115" i="12"/>
  <c r="Z115" i="12" s="1"/>
  <c r="U116" i="12"/>
  <c r="T118" i="12"/>
  <c r="U120" i="12"/>
  <c r="U127" i="12"/>
  <c r="U130" i="12"/>
  <c r="X132" i="12"/>
  <c r="Z147" i="12"/>
  <c r="AA153" i="12"/>
  <c r="AC159" i="12"/>
  <c r="AA161" i="12"/>
  <c r="AD167" i="12"/>
  <c r="AD172" i="12"/>
  <c r="AE178" i="12"/>
  <c r="P195" i="12"/>
  <c r="W195" i="12" s="1"/>
  <c r="Q197" i="12"/>
  <c r="T199" i="12"/>
  <c r="S206" i="12"/>
  <c r="P213" i="12"/>
  <c r="P215" i="12"/>
  <c r="R224" i="12"/>
  <c r="S224" i="12"/>
  <c r="R205" i="12"/>
  <c r="U206" i="12"/>
  <c r="S213" i="12"/>
  <c r="R215" i="12"/>
  <c r="Q223" i="12"/>
  <c r="T224" i="12"/>
  <c r="S205" i="12"/>
  <c r="V206" i="12"/>
  <c r="T213" i="12"/>
  <c r="V215" i="12"/>
  <c r="R223" i="12"/>
  <c r="W223" i="12" s="1"/>
  <c r="U224" i="12"/>
  <c r="V224" i="12"/>
  <c r="K17" i="12"/>
  <c r="AA75" i="12"/>
  <c r="S110" i="12"/>
  <c r="T114" i="12"/>
  <c r="V131" i="12"/>
  <c r="AA158" i="12"/>
  <c r="AA160" i="12"/>
  <c r="Z58" i="12"/>
  <c r="AF58" i="12" s="1"/>
  <c r="AD70" i="12"/>
  <c r="G16" i="12" s="1"/>
  <c r="K16" i="12" s="1"/>
  <c r="AB75" i="12"/>
  <c r="AF76" i="12"/>
  <c r="Y80" i="12"/>
  <c r="AF80" i="12" s="1"/>
  <c r="U114" i="12"/>
  <c r="AD155" i="12"/>
  <c r="AB160" i="12"/>
  <c r="Y165" i="12"/>
  <c r="AF165" i="12" s="1"/>
  <c r="Z173" i="12"/>
  <c r="AF173" i="12" s="1"/>
  <c r="AC177" i="12"/>
  <c r="AF177" i="12" s="1"/>
  <c r="V195" i="12"/>
  <c r="U205" i="12"/>
  <c r="V213" i="12"/>
  <c r="Q218" i="12"/>
  <c r="T223" i="12"/>
  <c r="Q211" i="12"/>
  <c r="W211" i="12" s="1"/>
  <c r="W213" i="12"/>
  <c r="R218" i="12"/>
  <c r="W218" i="12" s="1"/>
  <c r="U223" i="12"/>
  <c r="V223" i="12"/>
  <c r="C6" i="11"/>
  <c r="C10" i="1" s="1"/>
  <c r="Z152" i="14"/>
  <c r="AF152" i="14" s="1"/>
  <c r="AE152" i="14"/>
  <c r="AD152" i="14"/>
  <c r="AC152" i="14"/>
  <c r="AB152" i="14"/>
  <c r="AA152" i="14"/>
  <c r="Y152" i="14"/>
  <c r="AE61" i="15"/>
  <c r="AB61" i="15"/>
  <c r="Z61" i="15"/>
  <c r="Y61" i="15"/>
  <c r="AF61" i="15" s="1"/>
  <c r="AD61" i="15"/>
  <c r="Y107" i="12"/>
  <c r="X107" i="12"/>
  <c r="T107" i="12"/>
  <c r="AD53" i="12"/>
  <c r="AC53" i="12"/>
  <c r="AB53" i="12"/>
  <c r="AA53" i="12"/>
  <c r="Z53" i="12"/>
  <c r="Y53" i="12"/>
  <c r="AE79" i="12"/>
  <c r="AD79" i="12"/>
  <c r="AC79" i="12"/>
  <c r="Y79" i="12"/>
  <c r="Y113" i="12"/>
  <c r="X113" i="12"/>
  <c r="T113" i="12"/>
  <c r="Y131" i="12"/>
  <c r="X131" i="12"/>
  <c r="T131" i="12"/>
  <c r="S100" i="14"/>
  <c r="Y100" i="14"/>
  <c r="U100" i="14"/>
  <c r="AD166" i="14"/>
  <c r="AA166" i="14"/>
  <c r="Y166" i="14"/>
  <c r="AB166" i="14"/>
  <c r="AC55" i="16"/>
  <c r="AB55" i="16"/>
  <c r="AE55" i="16"/>
  <c r="AD55" i="16"/>
  <c r="AA55" i="16"/>
  <c r="AB169" i="17"/>
  <c r="Z169" i="17"/>
  <c r="Y169" i="17"/>
  <c r="AF169" i="17" s="1"/>
  <c r="AE169" i="17"/>
  <c r="AD169" i="17"/>
  <c r="AC169" i="17"/>
  <c r="AE53" i="12"/>
  <c r="AD59" i="12"/>
  <c r="AC59" i="12"/>
  <c r="AB59" i="12"/>
  <c r="AA59" i="12"/>
  <c r="Z59" i="12"/>
  <c r="Y59" i="12"/>
  <c r="AF59" i="12" s="1"/>
  <c r="Z79" i="12"/>
  <c r="AE85" i="12"/>
  <c r="AD85" i="12"/>
  <c r="AC85" i="12"/>
  <c r="Y85" i="12"/>
  <c r="AF85" i="12" s="1"/>
  <c r="S113" i="12"/>
  <c r="Z113" i="12" s="1"/>
  <c r="S131" i="12"/>
  <c r="AE170" i="12"/>
  <c r="AD170" i="12"/>
  <c r="AC170" i="12"/>
  <c r="Y170" i="12"/>
  <c r="AF170" i="12" s="1"/>
  <c r="V220" i="12"/>
  <c r="U220" i="12"/>
  <c r="T220" i="12"/>
  <c r="S220" i="12"/>
  <c r="R220" i="12"/>
  <c r="Q220" i="12"/>
  <c r="Y121" i="13"/>
  <c r="X121" i="13"/>
  <c r="W121" i="13"/>
  <c r="V121" i="13"/>
  <c r="U121" i="13"/>
  <c r="AE148" i="13"/>
  <c r="AD148" i="13"/>
  <c r="AC148" i="13"/>
  <c r="AB148" i="13"/>
  <c r="AA148" i="13"/>
  <c r="Z148" i="13"/>
  <c r="V194" i="13"/>
  <c r="U194" i="13"/>
  <c r="T194" i="13"/>
  <c r="S194" i="13"/>
  <c r="R194" i="13"/>
  <c r="U217" i="13"/>
  <c r="T217" i="13"/>
  <c r="S217" i="13"/>
  <c r="R217" i="13"/>
  <c r="Q217" i="13"/>
  <c r="P217" i="13"/>
  <c r="AB80" i="14"/>
  <c r="Y80" i="14"/>
  <c r="AF80" i="14" s="1"/>
  <c r="AE80" i="14"/>
  <c r="AD80" i="14"/>
  <c r="AC80" i="14"/>
  <c r="AA80" i="14"/>
  <c r="T100" i="14"/>
  <c r="Z100" i="14" s="1"/>
  <c r="S118" i="14"/>
  <c r="Z118" i="14" s="1"/>
  <c r="Y118" i="14"/>
  <c r="U118" i="14"/>
  <c r="Z166" i="14"/>
  <c r="AD172" i="14"/>
  <c r="AA172" i="14"/>
  <c r="Y172" i="14"/>
  <c r="Z172" i="14"/>
  <c r="AF172" i="14" s="1"/>
  <c r="AE174" i="14"/>
  <c r="AC174" i="14"/>
  <c r="AF174" i="14"/>
  <c r="AD174" i="14"/>
  <c r="AB174" i="14"/>
  <c r="AA174" i="14"/>
  <c r="P191" i="14"/>
  <c r="V191" i="14"/>
  <c r="U191" i="14"/>
  <c r="T191" i="14"/>
  <c r="S191" i="14"/>
  <c r="R191" i="14"/>
  <c r="Q191" i="14"/>
  <c r="W191" i="14" s="1"/>
  <c r="U195" i="14"/>
  <c r="S195" i="14"/>
  <c r="W195" i="14"/>
  <c r="V195" i="14"/>
  <c r="P195" i="14"/>
  <c r="U213" i="14"/>
  <c r="S213" i="14"/>
  <c r="R213" i="14"/>
  <c r="V213" i="14"/>
  <c r="T213" i="14"/>
  <c r="Q213" i="14"/>
  <c r="P213" i="14"/>
  <c r="W213" i="14" s="1"/>
  <c r="V129" i="15"/>
  <c r="S129" i="15"/>
  <c r="Z129" i="15" s="1"/>
  <c r="Y129" i="15"/>
  <c r="X129" i="15"/>
  <c r="W129" i="15"/>
  <c r="U129" i="15"/>
  <c r="T129" i="15"/>
  <c r="V135" i="15"/>
  <c r="S135" i="15"/>
  <c r="Z135" i="15"/>
  <c r="Y135" i="15"/>
  <c r="X135" i="15"/>
  <c r="W135" i="15"/>
  <c r="Z171" i="15"/>
  <c r="Y171" i="15"/>
  <c r="AA171" i="15"/>
  <c r="AE171" i="15"/>
  <c r="AD171" i="15"/>
  <c r="AC171" i="15"/>
  <c r="AF171" i="15" s="1"/>
  <c r="AB171" i="15"/>
  <c r="T200" i="15"/>
  <c r="S200" i="15"/>
  <c r="V200" i="15"/>
  <c r="P200" i="15"/>
  <c r="R211" i="15"/>
  <c r="Q211" i="15"/>
  <c r="V211" i="15"/>
  <c r="U211" i="15"/>
  <c r="T211" i="15"/>
  <c r="W211" i="15" s="1"/>
  <c r="S211" i="15"/>
  <c r="P211" i="15"/>
  <c r="Y55" i="16"/>
  <c r="AF55" i="16" s="1"/>
  <c r="U219" i="16"/>
  <c r="T219" i="16"/>
  <c r="R219" i="16"/>
  <c r="V219" i="16"/>
  <c r="S219" i="16"/>
  <c r="Q219" i="16"/>
  <c r="P219" i="16"/>
  <c r="W219" i="16" s="1"/>
  <c r="AD91" i="17"/>
  <c r="AB91" i="17"/>
  <c r="AA91" i="17"/>
  <c r="Y91" i="17"/>
  <c r="AC91" i="17"/>
  <c r="AF91" i="17"/>
  <c r="AE91" i="17"/>
  <c r="Z91" i="17"/>
  <c r="AA169" i="17"/>
  <c r="P195" i="17"/>
  <c r="Q195" i="17"/>
  <c r="V195" i="17"/>
  <c r="U195" i="17"/>
  <c r="T195" i="17"/>
  <c r="R195" i="17"/>
  <c r="W195" i="17" s="1"/>
  <c r="AB160" i="15"/>
  <c r="AA160" i="15"/>
  <c r="Y160" i="15"/>
  <c r="Z160" i="15"/>
  <c r="AE164" i="12"/>
  <c r="AD164" i="12"/>
  <c r="AC164" i="12"/>
  <c r="Y164" i="12"/>
  <c r="AF164" i="12" s="1"/>
  <c r="W192" i="12"/>
  <c r="V192" i="12"/>
  <c r="U192" i="12"/>
  <c r="Q192" i="12"/>
  <c r="AE63" i="13"/>
  <c r="AD63" i="13"/>
  <c r="AC63" i="13"/>
  <c r="AB63" i="13"/>
  <c r="AA63" i="13"/>
  <c r="Z63" i="13"/>
  <c r="AF63" i="13" s="1"/>
  <c r="AE77" i="13"/>
  <c r="AD77" i="13"/>
  <c r="Z77" i="13"/>
  <c r="Y115" i="13"/>
  <c r="X115" i="13"/>
  <c r="W115" i="13"/>
  <c r="V115" i="13"/>
  <c r="U115" i="13"/>
  <c r="Z115" i="13" s="1"/>
  <c r="X138" i="13"/>
  <c r="W138" i="13"/>
  <c r="V138" i="13"/>
  <c r="U138" i="13"/>
  <c r="T138" i="13"/>
  <c r="S138" i="13"/>
  <c r="AE150" i="13"/>
  <c r="AD150" i="13"/>
  <c r="Z150" i="13"/>
  <c r="AF150" i="13" s="1"/>
  <c r="AE178" i="13"/>
  <c r="AD178" i="13"/>
  <c r="AC178" i="13"/>
  <c r="AB178" i="13"/>
  <c r="AA178" i="13"/>
  <c r="Z178" i="13"/>
  <c r="U211" i="13"/>
  <c r="T211" i="13"/>
  <c r="S211" i="13"/>
  <c r="R211" i="13"/>
  <c r="Q211" i="13"/>
  <c r="P211" i="13"/>
  <c r="W211" i="13" s="1"/>
  <c r="AE180" i="14"/>
  <c r="AC180" i="14"/>
  <c r="AF180" i="14"/>
  <c r="AD180" i="14"/>
  <c r="AB180" i="14"/>
  <c r="AA180" i="14"/>
  <c r="Z180" i="14"/>
  <c r="AE89" i="16"/>
  <c r="AA89" i="16"/>
  <c r="Z89" i="16"/>
  <c r="AF89" i="16"/>
  <c r="AD89" i="16"/>
  <c r="AC89" i="16"/>
  <c r="AB89" i="16"/>
  <c r="X133" i="16"/>
  <c r="V133" i="16"/>
  <c r="U133" i="16"/>
  <c r="S133" i="16"/>
  <c r="Z133" i="16"/>
  <c r="Y133" i="16"/>
  <c r="W133" i="16"/>
  <c r="T133" i="16"/>
  <c r="AD68" i="17"/>
  <c r="AC68" i="17"/>
  <c r="AA68" i="17"/>
  <c r="AE68" i="17"/>
  <c r="AB68" i="17"/>
  <c r="Z68" i="17"/>
  <c r="Y68" i="17"/>
  <c r="K15" i="12"/>
  <c r="AD65" i="12"/>
  <c r="AC65" i="12"/>
  <c r="AB65" i="12"/>
  <c r="AA65" i="12"/>
  <c r="Z65" i="12"/>
  <c r="Y65" i="12"/>
  <c r="AF65" i="12" s="1"/>
  <c r="AA79" i="12"/>
  <c r="AF91" i="12"/>
  <c r="AE91" i="12"/>
  <c r="AD91" i="12"/>
  <c r="AC91" i="12"/>
  <c r="Y91" i="12"/>
  <c r="Y111" i="12"/>
  <c r="X111" i="12"/>
  <c r="W111" i="12"/>
  <c r="V111" i="12"/>
  <c r="U111" i="12"/>
  <c r="T111" i="12"/>
  <c r="Z111" i="12" s="1"/>
  <c r="U113" i="12"/>
  <c r="Y129" i="12"/>
  <c r="X129" i="12"/>
  <c r="W129" i="12"/>
  <c r="V129" i="12"/>
  <c r="U129" i="12"/>
  <c r="T129" i="12"/>
  <c r="U131" i="12"/>
  <c r="AD150" i="12"/>
  <c r="AC150" i="12"/>
  <c r="AB150" i="12"/>
  <c r="AA150" i="12"/>
  <c r="Z150" i="12"/>
  <c r="Y150" i="12"/>
  <c r="AF150" i="12" s="1"/>
  <c r="AA164" i="12"/>
  <c r="AF176" i="12"/>
  <c r="AE176" i="12"/>
  <c r="AD176" i="12"/>
  <c r="AC176" i="12"/>
  <c r="Y176" i="12"/>
  <c r="R192" i="12"/>
  <c r="V204" i="12"/>
  <c r="U204" i="12"/>
  <c r="Q204" i="12"/>
  <c r="W204" i="12" s="1"/>
  <c r="P220" i="12"/>
  <c r="W220" i="12" s="1"/>
  <c r="AE75" i="13"/>
  <c r="AD75" i="13"/>
  <c r="AC75" i="13"/>
  <c r="AB75" i="13"/>
  <c r="AA75" i="13"/>
  <c r="Z75" i="13"/>
  <c r="AF75" i="13" s="1"/>
  <c r="AA77" i="13"/>
  <c r="AF77" i="13" s="1"/>
  <c r="AF89" i="13"/>
  <c r="AE89" i="13"/>
  <c r="AD89" i="13"/>
  <c r="Z89" i="13"/>
  <c r="Y104" i="13"/>
  <c r="X104" i="13"/>
  <c r="W104" i="13"/>
  <c r="S104" i="13"/>
  <c r="Z104" i="13" s="1"/>
  <c r="T115" i="13"/>
  <c r="S121" i="13"/>
  <c r="Z121" i="13" s="1"/>
  <c r="Y127" i="13"/>
  <c r="X127" i="13"/>
  <c r="W127" i="13"/>
  <c r="V127" i="13"/>
  <c r="Z127" i="13" s="1"/>
  <c r="U127" i="13"/>
  <c r="Z138" i="13"/>
  <c r="Y148" i="13"/>
  <c r="AF148" i="13" s="1"/>
  <c r="AA150" i="13"/>
  <c r="AE162" i="13"/>
  <c r="AD162" i="13"/>
  <c r="Z162" i="13"/>
  <c r="AF178" i="13"/>
  <c r="P194" i="13"/>
  <c r="W194" i="13" s="1"/>
  <c r="V200" i="13"/>
  <c r="U200" i="13"/>
  <c r="T200" i="13"/>
  <c r="S200" i="13"/>
  <c r="R200" i="13"/>
  <c r="V217" i="13"/>
  <c r="U223" i="13"/>
  <c r="T223" i="13"/>
  <c r="S223" i="13"/>
  <c r="R223" i="13"/>
  <c r="Q223" i="13"/>
  <c r="P223" i="13"/>
  <c r="Z55" i="14"/>
  <c r="AF55" i="14"/>
  <c r="AE55" i="14"/>
  <c r="AD55" i="14"/>
  <c r="AC55" i="14"/>
  <c r="AB55" i="14"/>
  <c r="AF59" i="14"/>
  <c r="AE59" i="14"/>
  <c r="AD59" i="14"/>
  <c r="AC59" i="14"/>
  <c r="AB59" i="14"/>
  <c r="AA59" i="14"/>
  <c r="AE77" i="14"/>
  <c r="AD77" i="14"/>
  <c r="Z77" i="14"/>
  <c r="AF77" i="14" s="1"/>
  <c r="Z80" i="14"/>
  <c r="AF88" i="14"/>
  <c r="AC88" i="14"/>
  <c r="AE88" i="14"/>
  <c r="Z88" i="14"/>
  <c r="V100" i="14"/>
  <c r="T118" i="14"/>
  <c r="AC166" i="14"/>
  <c r="AB172" i="14"/>
  <c r="Y174" i="14"/>
  <c r="AD184" i="14"/>
  <c r="AA184" i="14"/>
  <c r="Y184" i="14"/>
  <c r="AF184" i="14"/>
  <c r="AE184" i="14"/>
  <c r="AC184" i="14"/>
  <c r="Q195" i="14"/>
  <c r="T104" i="15"/>
  <c r="Y104" i="15"/>
  <c r="X104" i="15"/>
  <c r="W104" i="15"/>
  <c r="V104" i="15"/>
  <c r="U104" i="15"/>
  <c r="S104" i="15"/>
  <c r="Z104" i="15" s="1"/>
  <c r="T135" i="15"/>
  <c r="Z177" i="15"/>
  <c r="Y177" i="15"/>
  <c r="AD177" i="15"/>
  <c r="AC177" i="15"/>
  <c r="AB177" i="15"/>
  <c r="Q200" i="15"/>
  <c r="W200" i="15" s="1"/>
  <c r="Z55" i="16"/>
  <c r="AE166" i="17"/>
  <c r="AC166" i="17"/>
  <c r="AD166" i="17"/>
  <c r="AB166" i="17"/>
  <c r="AA166" i="17"/>
  <c r="Z166" i="17"/>
  <c r="AF166" i="17" s="1"/>
  <c r="S195" i="17"/>
  <c r="AD71" i="12"/>
  <c r="AC71" i="12"/>
  <c r="AB71" i="12"/>
  <c r="AA71" i="12"/>
  <c r="Z71" i="12"/>
  <c r="Y71" i="12"/>
  <c r="U214" i="14"/>
  <c r="T214" i="14"/>
  <c r="Q214" i="14"/>
  <c r="AE79" i="15"/>
  <c r="AB79" i="15"/>
  <c r="Z79" i="15"/>
  <c r="Y79" i="15"/>
  <c r="AD79" i="15"/>
  <c r="R229" i="15"/>
  <c r="Q229" i="15"/>
  <c r="W229" i="15"/>
  <c r="V229" i="15"/>
  <c r="U229" i="15"/>
  <c r="T229" i="15"/>
  <c r="Y106" i="28"/>
  <c r="W106" i="28"/>
  <c r="U106" i="28"/>
  <c r="S106" i="28"/>
  <c r="Z106" i="28"/>
  <c r="X106" i="28"/>
  <c r="V106" i="28"/>
  <c r="T106" i="28"/>
  <c r="Y125" i="12"/>
  <c r="X125" i="12"/>
  <c r="T125" i="12"/>
  <c r="AD162" i="12"/>
  <c r="AC162" i="12"/>
  <c r="AB162" i="12"/>
  <c r="AA162" i="12"/>
  <c r="Z162" i="12"/>
  <c r="Y162" i="12"/>
  <c r="AF162" i="12" s="1"/>
  <c r="Z182" i="12"/>
  <c r="AE87" i="13"/>
  <c r="AD87" i="13"/>
  <c r="AC87" i="13"/>
  <c r="AB87" i="13"/>
  <c r="AA87" i="13"/>
  <c r="Z87" i="13"/>
  <c r="S133" i="13"/>
  <c r="AE174" i="13"/>
  <c r="AD174" i="13"/>
  <c r="Z174" i="13"/>
  <c r="P206" i="13"/>
  <c r="V212" i="13"/>
  <c r="U212" i="13"/>
  <c r="T212" i="13"/>
  <c r="S212" i="13"/>
  <c r="R212" i="13"/>
  <c r="AD81" i="14"/>
  <c r="AA81" i="14"/>
  <c r="Z81" i="14"/>
  <c r="W226" i="14"/>
  <c r="U226" i="14"/>
  <c r="T226" i="14"/>
  <c r="V226" i="14"/>
  <c r="S226" i="14"/>
  <c r="R226" i="14"/>
  <c r="Q226" i="14"/>
  <c r="AA61" i="15"/>
  <c r="AA79" i="15"/>
  <c r="V105" i="15"/>
  <c r="S105" i="15"/>
  <c r="Z105" i="15" s="1"/>
  <c r="Y105" i="15"/>
  <c r="T105" i="15"/>
  <c r="T116" i="15"/>
  <c r="Y116" i="15"/>
  <c r="X116" i="15"/>
  <c r="S116" i="15"/>
  <c r="P229" i="15"/>
  <c r="R203" i="18"/>
  <c r="W203" i="18"/>
  <c r="V203" i="18"/>
  <c r="U203" i="18"/>
  <c r="T203" i="18"/>
  <c r="S203" i="18"/>
  <c r="P203" i="18"/>
  <c r="AF80" i="28"/>
  <c r="AD80" i="28"/>
  <c r="AC80" i="28"/>
  <c r="AA80" i="28"/>
  <c r="Z80" i="28"/>
  <c r="AE80" i="28"/>
  <c r="AB80" i="28"/>
  <c r="Y80" i="28"/>
  <c r="AE148" i="30"/>
  <c r="AD148" i="30"/>
  <c r="AC148" i="30"/>
  <c r="AB148" i="30"/>
  <c r="Z148" i="30"/>
  <c r="AF148" i="30"/>
  <c r="AA148" i="30"/>
  <c r="Y148" i="30"/>
  <c r="Y54" i="12"/>
  <c r="AE60" i="12"/>
  <c r="AD60" i="12"/>
  <c r="AC60" i="12"/>
  <c r="AB60" i="12"/>
  <c r="AA60" i="12"/>
  <c r="AE77" i="12"/>
  <c r="AD83" i="12"/>
  <c r="AC83" i="12"/>
  <c r="AB83" i="12"/>
  <c r="AA83" i="12"/>
  <c r="Z83" i="12"/>
  <c r="Y83" i="12"/>
  <c r="AE145" i="12"/>
  <c r="AD145" i="12"/>
  <c r="AC145" i="12"/>
  <c r="AB145" i="12"/>
  <c r="AA145" i="12"/>
  <c r="AE162" i="12"/>
  <c r="P202" i="12"/>
  <c r="P216" i="12"/>
  <c r="W216" i="12" s="1"/>
  <c r="AA59" i="13"/>
  <c r="Y87" i="13"/>
  <c r="AE172" i="13"/>
  <c r="AD172" i="13"/>
  <c r="AC172" i="13"/>
  <c r="AB172" i="13"/>
  <c r="AA172" i="13"/>
  <c r="Z172" i="13"/>
  <c r="P212" i="13"/>
  <c r="Z73" i="14"/>
  <c r="AF73" i="14"/>
  <c r="AE73" i="14"/>
  <c r="AD73" i="14"/>
  <c r="AC73" i="14"/>
  <c r="AB73" i="14"/>
  <c r="Y81" i="14"/>
  <c r="AF81" i="14" s="1"/>
  <c r="AA91" i="14"/>
  <c r="S106" i="14"/>
  <c r="Z106" i="14" s="1"/>
  <c r="Y106" i="14"/>
  <c r="X106" i="14"/>
  <c r="W106" i="14"/>
  <c r="V106" i="14"/>
  <c r="U106" i="14"/>
  <c r="R214" i="14"/>
  <c r="AC79" i="15"/>
  <c r="AF79" i="15" s="1"/>
  <c r="U116" i="15"/>
  <c r="Z116" i="15" s="1"/>
  <c r="U207" i="18"/>
  <c r="W207" i="18"/>
  <c r="V207" i="18"/>
  <c r="T207" i="18"/>
  <c r="S207" i="18"/>
  <c r="R207" i="18"/>
  <c r="Q207" i="18"/>
  <c r="P207" i="18"/>
  <c r="Y60" i="12"/>
  <c r="AE66" i="12"/>
  <c r="AD66" i="12"/>
  <c r="AC66" i="12"/>
  <c r="AB66" i="12"/>
  <c r="AA66" i="12"/>
  <c r="AE83" i="12"/>
  <c r="AD89" i="12"/>
  <c r="AC89" i="12"/>
  <c r="AB89" i="12"/>
  <c r="AA89" i="12"/>
  <c r="Z89" i="12"/>
  <c r="Y89" i="12"/>
  <c r="Y105" i="12"/>
  <c r="X105" i="12"/>
  <c r="W105" i="12"/>
  <c r="V105" i="12"/>
  <c r="U105" i="12"/>
  <c r="T105" i="12"/>
  <c r="U107" i="12"/>
  <c r="Y123" i="12"/>
  <c r="X123" i="12"/>
  <c r="W123" i="12"/>
  <c r="V123" i="12"/>
  <c r="U123" i="12"/>
  <c r="T123" i="12"/>
  <c r="U125" i="12"/>
  <c r="Y145" i="12"/>
  <c r="AF145" i="12" s="1"/>
  <c r="AF151" i="12"/>
  <c r="AE151" i="12"/>
  <c r="AD151" i="12"/>
  <c r="AC151" i="12"/>
  <c r="AB151" i="12"/>
  <c r="AA151" i="12"/>
  <c r="AD174" i="12"/>
  <c r="AC174" i="12"/>
  <c r="AB174" i="12"/>
  <c r="AA174" i="12"/>
  <c r="Z174" i="12"/>
  <c r="Y174" i="12"/>
  <c r="AF174" i="12" s="1"/>
  <c r="AB182" i="12"/>
  <c r="T204" i="12"/>
  <c r="V214" i="12"/>
  <c r="U214" i="12"/>
  <c r="T214" i="12"/>
  <c r="S214" i="12"/>
  <c r="R214" i="12"/>
  <c r="Q214" i="12"/>
  <c r="W214" i="12" s="1"/>
  <c r="W228" i="12"/>
  <c r="V228" i="12"/>
  <c r="U228" i="12"/>
  <c r="Q228" i="12"/>
  <c r="Y57" i="13"/>
  <c r="AB59" i="13"/>
  <c r="Y71" i="13"/>
  <c r="AF71" i="13" s="1"/>
  <c r="AF87" i="13"/>
  <c r="AC89" i="13"/>
  <c r="X102" i="13"/>
  <c r="W102" i="13"/>
  <c r="V102" i="13"/>
  <c r="U102" i="13"/>
  <c r="T102" i="13"/>
  <c r="S102" i="13"/>
  <c r="Z102" i="13" s="1"/>
  <c r="T122" i="13"/>
  <c r="Y128" i="13"/>
  <c r="X128" i="13"/>
  <c r="W128" i="13"/>
  <c r="S128" i="13"/>
  <c r="AC162" i="13"/>
  <c r="Y172" i="13"/>
  <c r="AF172" i="13" s="1"/>
  <c r="AA174" i="13"/>
  <c r="Q195" i="13"/>
  <c r="V201" i="13"/>
  <c r="U201" i="13"/>
  <c r="T201" i="13"/>
  <c r="W201" i="13" s="1"/>
  <c r="P201" i="13"/>
  <c r="Q212" i="13"/>
  <c r="W212" i="13" s="1"/>
  <c r="P218" i="13"/>
  <c r="W224" i="13"/>
  <c r="V224" i="13"/>
  <c r="U224" i="13"/>
  <c r="T224" i="13"/>
  <c r="S224" i="13"/>
  <c r="R224" i="13"/>
  <c r="AB56" i="14"/>
  <c r="AE56" i="14"/>
  <c r="Z56" i="14"/>
  <c r="Y73" i="14"/>
  <c r="AC77" i="14"/>
  <c r="AB81" i="14"/>
  <c r="AE83" i="14"/>
  <c r="AD83" i="14"/>
  <c r="AC83" i="14"/>
  <c r="AB83" i="14"/>
  <c r="AA83" i="14"/>
  <c r="Z83" i="14"/>
  <c r="AF83" i="14" s="1"/>
  <c r="AD88" i="14"/>
  <c r="T106" i="14"/>
  <c r="S124" i="14"/>
  <c r="Y124" i="14"/>
  <c r="X124" i="14"/>
  <c r="W124" i="14"/>
  <c r="V124" i="14"/>
  <c r="U124" i="14"/>
  <c r="Z124" i="14" s="1"/>
  <c r="Z146" i="14"/>
  <c r="AF146" i="14"/>
  <c r="AE146" i="14"/>
  <c r="AD146" i="14"/>
  <c r="AC146" i="14"/>
  <c r="AB146" i="14"/>
  <c r="AA146" i="14"/>
  <c r="AC149" i="14"/>
  <c r="AA149" i="14"/>
  <c r="AE149" i="14"/>
  <c r="AD149" i="14"/>
  <c r="AB149" i="14"/>
  <c r="Z149" i="14"/>
  <c r="AF149" i="14" s="1"/>
  <c r="AE156" i="14"/>
  <c r="AC156" i="14"/>
  <c r="AF156" i="14"/>
  <c r="Z156" i="14"/>
  <c r="AB159" i="14"/>
  <c r="Y159" i="14"/>
  <c r="AE159" i="14"/>
  <c r="AD159" i="14"/>
  <c r="AC159" i="14"/>
  <c r="S214" i="14"/>
  <c r="AD56" i="15"/>
  <c r="AB56" i="15"/>
  <c r="AA56" i="15"/>
  <c r="Y56" i="15"/>
  <c r="AF56" i="15" s="1"/>
  <c r="Y58" i="15"/>
  <c r="AF58" i="15"/>
  <c r="AE58" i="15"/>
  <c r="AD58" i="15"/>
  <c r="AC58" i="15"/>
  <c r="AB58" i="15"/>
  <c r="AD74" i="15"/>
  <c r="AB74" i="15"/>
  <c r="AA74" i="15"/>
  <c r="Y74" i="15"/>
  <c r="Y76" i="15"/>
  <c r="AE76" i="15"/>
  <c r="AD76" i="15"/>
  <c r="AC76" i="15"/>
  <c r="AB76" i="15"/>
  <c r="AD92" i="15"/>
  <c r="AB92" i="15"/>
  <c r="AA92" i="15"/>
  <c r="AF92" i="15"/>
  <c r="Y92" i="15"/>
  <c r="V99" i="15"/>
  <c r="S99" i="15"/>
  <c r="Z99" i="15"/>
  <c r="Y99" i="15"/>
  <c r="X99" i="15"/>
  <c r="W99" i="15"/>
  <c r="W105" i="15"/>
  <c r="V116" i="15"/>
  <c r="S138" i="15"/>
  <c r="AE160" i="15"/>
  <c r="AB178" i="15"/>
  <c r="AA178" i="15"/>
  <c r="Y178" i="15"/>
  <c r="AF178" i="15"/>
  <c r="AE178" i="15"/>
  <c r="AD178" i="15"/>
  <c r="AC178" i="15"/>
  <c r="Z178" i="15"/>
  <c r="AC87" i="16"/>
  <c r="AA87" i="16"/>
  <c r="AF87" i="16"/>
  <c r="AE87" i="16"/>
  <c r="AD87" i="16"/>
  <c r="AB87" i="16"/>
  <c r="Z87" i="16"/>
  <c r="Y87" i="16"/>
  <c r="AE173" i="16"/>
  <c r="AC173" i="16"/>
  <c r="AF173" i="16" s="1"/>
  <c r="AB173" i="16"/>
  <c r="Z173" i="16"/>
  <c r="AA173" i="16"/>
  <c r="Y120" i="17"/>
  <c r="X120" i="17"/>
  <c r="V120" i="17"/>
  <c r="T120" i="17"/>
  <c r="Z120" i="17" s="1"/>
  <c r="S122" i="17"/>
  <c r="Z122" i="17"/>
  <c r="W122" i="17"/>
  <c r="V122" i="17"/>
  <c r="U122" i="17"/>
  <c r="T122" i="17"/>
  <c r="AD164" i="17"/>
  <c r="AB164" i="17"/>
  <c r="AA164" i="17"/>
  <c r="Y164" i="17"/>
  <c r="AF164" i="17" s="1"/>
  <c r="AE164" i="17"/>
  <c r="AC164" i="17"/>
  <c r="Z164" i="17"/>
  <c r="AF177" i="17"/>
  <c r="AD177" i="17"/>
  <c r="AC177" i="17"/>
  <c r="AA177" i="17"/>
  <c r="AE177" i="17"/>
  <c r="AB177" i="17"/>
  <c r="Z177" i="17"/>
  <c r="Y177" i="17"/>
  <c r="AF184" i="17"/>
  <c r="AE184" i="17"/>
  <c r="AC184" i="17"/>
  <c r="AB184" i="17"/>
  <c r="AA184" i="17"/>
  <c r="Z184" i="17"/>
  <c r="AD184" i="17"/>
  <c r="Y184" i="17"/>
  <c r="AD156" i="12"/>
  <c r="AC156" i="12"/>
  <c r="AB156" i="12"/>
  <c r="AA156" i="12"/>
  <c r="Z156" i="12"/>
  <c r="AF156" i="12" s="1"/>
  <c r="Y156" i="12"/>
  <c r="Z110" i="13"/>
  <c r="Y110" i="13"/>
  <c r="X110" i="13"/>
  <c r="W110" i="13"/>
  <c r="S110" i="13"/>
  <c r="AB83" i="22"/>
  <c r="AE83" i="22"/>
  <c r="Z83" i="22"/>
  <c r="AF83" i="22"/>
  <c r="AD83" i="22"/>
  <c r="AA83" i="22"/>
  <c r="AC83" i="22"/>
  <c r="Y137" i="28"/>
  <c r="X137" i="28"/>
  <c r="W137" i="28"/>
  <c r="Z137" i="28"/>
  <c r="V137" i="28"/>
  <c r="U137" i="28"/>
  <c r="T137" i="28"/>
  <c r="S137" i="28"/>
  <c r="W205" i="30"/>
  <c r="T205" i="30"/>
  <c r="R205" i="30"/>
  <c r="Q205" i="30"/>
  <c r="V205" i="30"/>
  <c r="U205" i="30"/>
  <c r="S205" i="30"/>
  <c r="P205" i="30"/>
  <c r="AE54" i="12"/>
  <c r="AD54" i="12"/>
  <c r="AC54" i="12"/>
  <c r="AB54" i="12"/>
  <c r="AA54" i="12"/>
  <c r="AD77" i="12"/>
  <c r="AC77" i="12"/>
  <c r="AB77" i="12"/>
  <c r="AA77" i="12"/>
  <c r="Z77" i="12"/>
  <c r="Y77" i="12"/>
  <c r="AF77" i="12" s="1"/>
  <c r="V216" i="12"/>
  <c r="U216" i="12"/>
  <c r="Q216" i="12"/>
  <c r="Y116" i="13"/>
  <c r="X116" i="13"/>
  <c r="W116" i="13"/>
  <c r="S116" i="13"/>
  <c r="Z116" i="13" s="1"/>
  <c r="S107" i="12"/>
  <c r="S125" i="12"/>
  <c r="AD168" i="12"/>
  <c r="AC168" i="12"/>
  <c r="AB168" i="12"/>
  <c r="AA168" i="12"/>
  <c r="Z168" i="12"/>
  <c r="Y168" i="12"/>
  <c r="AF168" i="12" s="1"/>
  <c r="AF157" i="12"/>
  <c r="AE157" i="12"/>
  <c r="AD157" i="12"/>
  <c r="AC157" i="12"/>
  <c r="AB157" i="12"/>
  <c r="AA157" i="12"/>
  <c r="AD180" i="12"/>
  <c r="AC180" i="12"/>
  <c r="AB180" i="12"/>
  <c r="AA180" i="12"/>
  <c r="Z180" i="12"/>
  <c r="Y180" i="12"/>
  <c r="V198" i="12"/>
  <c r="U198" i="12"/>
  <c r="Q198" i="12"/>
  <c r="S216" i="12"/>
  <c r="AC59" i="13"/>
  <c r="AF59" i="13" s="1"/>
  <c r="AE69" i="13"/>
  <c r="AD69" i="13"/>
  <c r="AC69" i="13"/>
  <c r="AB69" i="13"/>
  <c r="AA69" i="13"/>
  <c r="Z69" i="13"/>
  <c r="AE83" i="13"/>
  <c r="AD83" i="13"/>
  <c r="Z83" i="13"/>
  <c r="AF83" i="13" s="1"/>
  <c r="X108" i="13"/>
  <c r="W108" i="13"/>
  <c r="V108" i="13"/>
  <c r="U108" i="13"/>
  <c r="T108" i="13"/>
  <c r="S108" i="13"/>
  <c r="V116" i="13"/>
  <c r="Z134" i="13"/>
  <c r="Y134" i="13"/>
  <c r="X134" i="13"/>
  <c r="W134" i="13"/>
  <c r="S134" i="13"/>
  <c r="AE156" i="13"/>
  <c r="AD156" i="13"/>
  <c r="Z156" i="13"/>
  <c r="AB174" i="13"/>
  <c r="AE184" i="13"/>
  <c r="AD184" i="13"/>
  <c r="AC184" i="13"/>
  <c r="AB184" i="13"/>
  <c r="AA184" i="13"/>
  <c r="Z184" i="13"/>
  <c r="R195" i="13"/>
  <c r="W195" i="13" s="1"/>
  <c r="V207" i="13"/>
  <c r="U207" i="13"/>
  <c r="T207" i="13"/>
  <c r="P207" i="13"/>
  <c r="W230" i="13"/>
  <c r="V230" i="13"/>
  <c r="U230" i="13"/>
  <c r="T230" i="13"/>
  <c r="S230" i="13"/>
  <c r="R230" i="13"/>
  <c r="AA73" i="14"/>
  <c r="AC81" i="14"/>
  <c r="AB92" i="14"/>
  <c r="Y92" i="14"/>
  <c r="AF92" i="14"/>
  <c r="AA92" i="14"/>
  <c r="V214" i="14"/>
  <c r="X105" i="15"/>
  <c r="W116" i="15"/>
  <c r="Y126" i="15"/>
  <c r="W126" i="15"/>
  <c r="V126" i="15"/>
  <c r="X126" i="15"/>
  <c r="U126" i="15"/>
  <c r="T126" i="15"/>
  <c r="AD147" i="15"/>
  <c r="AB147" i="15"/>
  <c r="AA147" i="15"/>
  <c r="AE147" i="15"/>
  <c r="AC147" i="15"/>
  <c r="Z147" i="15"/>
  <c r="Q197" i="15"/>
  <c r="V197" i="15"/>
  <c r="U197" i="15"/>
  <c r="T197" i="15"/>
  <c r="S197" i="15"/>
  <c r="Q215" i="15"/>
  <c r="P215" i="15"/>
  <c r="V215" i="15"/>
  <c r="U215" i="15"/>
  <c r="T215" i="15"/>
  <c r="W215" i="15" s="1"/>
  <c r="S215" i="15"/>
  <c r="R215" i="15"/>
  <c r="AE160" i="13"/>
  <c r="AD160" i="13"/>
  <c r="AC160" i="13"/>
  <c r="AB160" i="13"/>
  <c r="AA160" i="13"/>
  <c r="Z160" i="13"/>
  <c r="AE71" i="12"/>
  <c r="Y160" i="13"/>
  <c r="AF160" i="13" s="1"/>
  <c r="V229" i="13"/>
  <c r="AC155" i="14"/>
  <c r="AA155" i="14"/>
  <c r="AE155" i="14"/>
  <c r="AD155" i="14"/>
  <c r="AB155" i="14"/>
  <c r="Z155" i="14"/>
  <c r="Y155" i="14"/>
  <c r="AF155" i="14" s="1"/>
  <c r="W208" i="14"/>
  <c r="U208" i="14"/>
  <c r="T208" i="14"/>
  <c r="V208" i="14"/>
  <c r="S208" i="14"/>
  <c r="R208" i="14"/>
  <c r="Q208" i="14"/>
  <c r="P214" i="14"/>
  <c r="W214" i="14" s="1"/>
  <c r="Z107" i="15"/>
  <c r="W107" i="15"/>
  <c r="U107" i="15"/>
  <c r="T107" i="15"/>
  <c r="Y107" i="15"/>
  <c r="X107" i="15"/>
  <c r="V107" i="15"/>
  <c r="AC160" i="15"/>
  <c r="AF160" i="15" s="1"/>
  <c r="Y83" i="22"/>
  <c r="AA165" i="22"/>
  <c r="Y165" i="22"/>
  <c r="AD165" i="22"/>
  <c r="AB165" i="22"/>
  <c r="AC165" i="22"/>
  <c r="Z165" i="22"/>
  <c r="AF165" i="22"/>
  <c r="AE165" i="22"/>
  <c r="Y105" i="27"/>
  <c r="W105" i="27"/>
  <c r="U105" i="27"/>
  <c r="T105" i="27"/>
  <c r="V105" i="27"/>
  <c r="Z105" i="27"/>
  <c r="X105" i="27"/>
  <c r="S105" i="27"/>
  <c r="V120" i="27"/>
  <c r="U120" i="27"/>
  <c r="Y120" i="27"/>
  <c r="X120" i="27"/>
  <c r="W120" i="27"/>
  <c r="T120" i="27"/>
  <c r="S120" i="27"/>
  <c r="Z120" i="27"/>
  <c r="AE57" i="13"/>
  <c r="AD57" i="13"/>
  <c r="AC57" i="13"/>
  <c r="AB57" i="13"/>
  <c r="AF57" i="13" s="1"/>
  <c r="AA57" i="13"/>
  <c r="Z57" i="13"/>
  <c r="AE71" i="13"/>
  <c r="AD71" i="13"/>
  <c r="Z71" i="13"/>
  <c r="U110" i="13"/>
  <c r="T116" i="13"/>
  <c r="Z122" i="13"/>
  <c r="Y122" i="13"/>
  <c r="X122" i="13"/>
  <c r="W122" i="13"/>
  <c r="S122" i="13"/>
  <c r="Y174" i="13"/>
  <c r="V218" i="13"/>
  <c r="U218" i="13"/>
  <c r="T218" i="13"/>
  <c r="S218" i="13"/>
  <c r="R218" i="13"/>
  <c r="W218" i="13" s="1"/>
  <c r="P208" i="14"/>
  <c r="P226" i="14"/>
  <c r="AC61" i="15"/>
  <c r="U105" i="15"/>
  <c r="Y138" i="15"/>
  <c r="W138" i="15"/>
  <c r="V138" i="15"/>
  <c r="T138" i="15"/>
  <c r="AD160" i="15"/>
  <c r="S229" i="15"/>
  <c r="Q203" i="18"/>
  <c r="T132" i="20"/>
  <c r="S132" i="20"/>
  <c r="Z132" i="20"/>
  <c r="V132" i="20"/>
  <c r="U132" i="20"/>
  <c r="Y132" i="20"/>
  <c r="X132" i="20"/>
  <c r="W132" i="20"/>
  <c r="Z60" i="12"/>
  <c r="AE72" i="12"/>
  <c r="AD72" i="12"/>
  <c r="AC72" i="12"/>
  <c r="AB72" i="12"/>
  <c r="AA72" i="12"/>
  <c r="V107" i="12"/>
  <c r="V125" i="12"/>
  <c r="Z145" i="12"/>
  <c r="AE55" i="12"/>
  <c r="AD55" i="12"/>
  <c r="AC55" i="12"/>
  <c r="Y55" i="12"/>
  <c r="Z66" i="12"/>
  <c r="Y72" i="12"/>
  <c r="AE78" i="12"/>
  <c r="AD78" i="12"/>
  <c r="AC78" i="12"/>
  <c r="AB78" i="12"/>
  <c r="AA78" i="12"/>
  <c r="AF78" i="12" s="1"/>
  <c r="AF89" i="12"/>
  <c r="Y101" i="12"/>
  <c r="X101" i="12"/>
  <c r="T101" i="12"/>
  <c r="Z101" i="12" s="1"/>
  <c r="W107" i="12"/>
  <c r="Y119" i="12"/>
  <c r="X119" i="12"/>
  <c r="T119" i="12"/>
  <c r="Z123" i="12"/>
  <c r="W125" i="12"/>
  <c r="Z137" i="12"/>
  <c r="Y137" i="12"/>
  <c r="X137" i="12"/>
  <c r="T137" i="12"/>
  <c r="Z151" i="12"/>
  <c r="Y157" i="12"/>
  <c r="AE163" i="12"/>
  <c r="AD163" i="12"/>
  <c r="AC163" i="12"/>
  <c r="AB163" i="12"/>
  <c r="AF163" i="12" s="1"/>
  <c r="AA163" i="12"/>
  <c r="AE180" i="12"/>
  <c r="P198" i="12"/>
  <c r="W198" i="12" s="1"/>
  <c r="T216" i="12"/>
  <c r="V226" i="12"/>
  <c r="U226" i="12"/>
  <c r="T226" i="12"/>
  <c r="S226" i="12"/>
  <c r="R226" i="12"/>
  <c r="Q226" i="12"/>
  <c r="R228" i="12"/>
  <c r="AE53" i="13"/>
  <c r="AD53" i="13"/>
  <c r="Z53" i="13"/>
  <c r="Y69" i="13"/>
  <c r="AB71" i="13"/>
  <c r="Y83" i="13"/>
  <c r="Y108" i="13"/>
  <c r="X114" i="13"/>
  <c r="W114" i="13"/>
  <c r="V114" i="13"/>
  <c r="U114" i="13"/>
  <c r="T114" i="13"/>
  <c r="S114" i="13"/>
  <c r="Z114" i="13" s="1"/>
  <c r="V122" i="13"/>
  <c r="U128" i="13"/>
  <c r="Z128" i="13" s="1"/>
  <c r="T134" i="13"/>
  <c r="AE154" i="13"/>
  <c r="AD154" i="13"/>
  <c r="AC154" i="13"/>
  <c r="AB154" i="13"/>
  <c r="AA154" i="13"/>
  <c r="Z154" i="13"/>
  <c r="Y156" i="13"/>
  <c r="AF156" i="13" s="1"/>
  <c r="AC174" i="13"/>
  <c r="AF174" i="13" s="1"/>
  <c r="Y184" i="13"/>
  <c r="R201" i="13"/>
  <c r="Q207" i="13"/>
  <c r="W207" i="13" s="1"/>
  <c r="V213" i="13"/>
  <c r="U213" i="13"/>
  <c r="T213" i="13"/>
  <c r="P213" i="13"/>
  <c r="W213" i="13" s="1"/>
  <c r="Q224" i="13"/>
  <c r="P230" i="13"/>
  <c r="AA56" i="14"/>
  <c r="AB68" i="14"/>
  <c r="AE68" i="14"/>
  <c r="AD68" i="14"/>
  <c r="AC68" i="14"/>
  <c r="AA68" i="14"/>
  <c r="Z68" i="14"/>
  <c r="AF68" i="14" s="1"/>
  <c r="AE81" i="14"/>
  <c r="Z92" i="14"/>
  <c r="Z99" i="14"/>
  <c r="Y99" i="14"/>
  <c r="X99" i="14"/>
  <c r="W99" i="14"/>
  <c r="V99" i="14"/>
  <c r="U99" i="14"/>
  <c r="AA156" i="14"/>
  <c r="AA159" i="14"/>
  <c r="AF159" i="14" s="1"/>
  <c r="V206" i="14"/>
  <c r="S206" i="14"/>
  <c r="Q206" i="14"/>
  <c r="P206" i="14"/>
  <c r="W206" i="14"/>
  <c r="U206" i="14"/>
  <c r="V224" i="14"/>
  <c r="S224" i="14"/>
  <c r="Q224" i="14"/>
  <c r="P224" i="14"/>
  <c r="W224" i="14"/>
  <c r="U224" i="14"/>
  <c r="K12" i="15"/>
  <c r="AC56" i="15"/>
  <c r="AA58" i="15"/>
  <c r="AD68" i="15"/>
  <c r="AB68" i="15"/>
  <c r="AA68" i="15"/>
  <c r="AE68" i="15"/>
  <c r="AC68" i="15"/>
  <c r="Z68" i="15"/>
  <c r="Y68" i="15"/>
  <c r="AF68" i="15" s="1"/>
  <c r="AC74" i="15"/>
  <c r="AF74" i="15" s="1"/>
  <c r="AA76" i="15"/>
  <c r="AF76" i="15" s="1"/>
  <c r="AD86" i="15"/>
  <c r="AB86" i="15"/>
  <c r="AA86" i="15"/>
  <c r="AF86" i="15"/>
  <c r="AE86" i="15"/>
  <c r="AC86" i="15"/>
  <c r="Z86" i="15"/>
  <c r="Y86" i="15"/>
  <c r="AC92" i="15"/>
  <c r="U99" i="15"/>
  <c r="S126" i="15"/>
  <c r="Z126" i="15" s="1"/>
  <c r="X138" i="15"/>
  <c r="Y147" i="15"/>
  <c r="AF147" i="15" s="1"/>
  <c r="AD153" i="15"/>
  <c r="AB153" i="15"/>
  <c r="AA153" i="15"/>
  <c r="Z153" i="15"/>
  <c r="V195" i="15"/>
  <c r="U195" i="15"/>
  <c r="S195" i="15"/>
  <c r="Q195" i="15"/>
  <c r="P195" i="15"/>
  <c r="W195" i="15"/>
  <c r="P197" i="15"/>
  <c r="W197" i="15" s="1"/>
  <c r="T218" i="15"/>
  <c r="W218" i="15" s="1"/>
  <c r="S218" i="15"/>
  <c r="V218" i="15"/>
  <c r="P218" i="15"/>
  <c r="AC81" i="16"/>
  <c r="AA81" i="16"/>
  <c r="AE81" i="16"/>
  <c r="AD81" i="16"/>
  <c r="AB81" i="16"/>
  <c r="Z81" i="16"/>
  <c r="Y81" i="16"/>
  <c r="AD173" i="16"/>
  <c r="U120" i="17"/>
  <c r="Y122" i="17"/>
  <c r="V195" i="13"/>
  <c r="U195" i="13"/>
  <c r="T195" i="13"/>
  <c r="P195" i="13"/>
  <c r="AE61" i="12"/>
  <c r="AD61" i="12"/>
  <c r="AC61" i="12"/>
  <c r="Y61" i="12"/>
  <c r="AE84" i="12"/>
  <c r="AD84" i="12"/>
  <c r="AC84" i="12"/>
  <c r="AB84" i="12"/>
  <c r="AA84" i="12"/>
  <c r="AE146" i="12"/>
  <c r="AD146" i="12"/>
  <c r="AC146" i="12"/>
  <c r="Y146" i="12"/>
  <c r="AF146" i="12" s="1"/>
  <c r="AE169" i="12"/>
  <c r="AD169" i="12"/>
  <c r="AC169" i="12"/>
  <c r="AB169" i="12"/>
  <c r="AA169" i="12"/>
  <c r="V196" i="12"/>
  <c r="U196" i="12"/>
  <c r="T196" i="12"/>
  <c r="S196" i="12"/>
  <c r="R196" i="12"/>
  <c r="Q196" i="12"/>
  <c r="W210" i="12"/>
  <c r="V210" i="12"/>
  <c r="U210" i="12"/>
  <c r="Q210" i="12"/>
  <c r="AC71" i="13"/>
  <c r="AE81" i="13"/>
  <c r="AD81" i="13"/>
  <c r="AC81" i="13"/>
  <c r="AB81" i="13"/>
  <c r="AA81" i="13"/>
  <c r="Z81" i="13"/>
  <c r="AF81" i="13" s="1"/>
  <c r="X120" i="13"/>
  <c r="W120" i="13"/>
  <c r="V120" i="13"/>
  <c r="U120" i="13"/>
  <c r="T120" i="13"/>
  <c r="S120" i="13"/>
  <c r="Z120" i="13" s="1"/>
  <c r="AE168" i="13"/>
  <c r="AD168" i="13"/>
  <c r="Z168" i="13"/>
  <c r="AF168" i="13" s="1"/>
  <c r="U193" i="13"/>
  <c r="T193" i="13"/>
  <c r="S193" i="13"/>
  <c r="R193" i="13"/>
  <c r="W193" i="13" s="1"/>
  <c r="Q193" i="13"/>
  <c r="P193" i="13"/>
  <c r="V219" i="13"/>
  <c r="U219" i="13"/>
  <c r="T219" i="13"/>
  <c r="P219" i="13"/>
  <c r="W219" i="13" s="1"/>
  <c r="AD63" i="14"/>
  <c r="AE63" i="14"/>
  <c r="AC63" i="14"/>
  <c r="AB63" i="14"/>
  <c r="AA63" i="14"/>
  <c r="AF63" i="14" s="1"/>
  <c r="Z63" i="14"/>
  <c r="Y63" i="14"/>
  <c r="AB74" i="14"/>
  <c r="Y74" i="14"/>
  <c r="AA74" i="14"/>
  <c r="Z117" i="14"/>
  <c r="Y117" i="14"/>
  <c r="X117" i="14"/>
  <c r="W117" i="14"/>
  <c r="V117" i="14"/>
  <c r="U117" i="14"/>
  <c r="AB147" i="14"/>
  <c r="Y147" i="14"/>
  <c r="AF147" i="14" s="1"/>
  <c r="AE147" i="14"/>
  <c r="Z147" i="14"/>
  <c r="AB165" i="14"/>
  <c r="Y165" i="14"/>
  <c r="AF165" i="14"/>
  <c r="AE165" i="14"/>
  <c r="AD165" i="14"/>
  <c r="AC165" i="14"/>
  <c r="AA165" i="14"/>
  <c r="W119" i="15"/>
  <c r="U119" i="15"/>
  <c r="T119" i="15"/>
  <c r="V119" i="15"/>
  <c r="Z138" i="15"/>
  <c r="AD169" i="15"/>
  <c r="AB169" i="15"/>
  <c r="AA169" i="15"/>
  <c r="Z169" i="15"/>
  <c r="T224" i="15"/>
  <c r="S224" i="15"/>
  <c r="W224" i="15"/>
  <c r="U224" i="15"/>
  <c r="Q224" i="15"/>
  <c r="P224" i="15"/>
  <c r="V224" i="15"/>
  <c r="R224" i="15"/>
  <c r="X103" i="16"/>
  <c r="V103" i="16"/>
  <c r="Y103" i="16"/>
  <c r="W103" i="16"/>
  <c r="Z103" i="16" s="1"/>
  <c r="U103" i="16"/>
  <c r="T103" i="16"/>
  <c r="X116" i="16"/>
  <c r="V116" i="16"/>
  <c r="U116" i="16"/>
  <c r="Y116" i="16"/>
  <c r="W116" i="16"/>
  <c r="S116" i="16"/>
  <c r="Z116" i="16" s="1"/>
  <c r="AB175" i="17"/>
  <c r="Z175" i="17"/>
  <c r="Y175" i="17"/>
  <c r="AF175" i="17"/>
  <c r="AE175" i="17"/>
  <c r="AD175" i="17"/>
  <c r="AC175" i="17"/>
  <c r="Z61" i="12"/>
  <c r="Y99" i="12"/>
  <c r="X99" i="12"/>
  <c r="W99" i="12"/>
  <c r="V99" i="12"/>
  <c r="U99" i="12"/>
  <c r="T99" i="12"/>
  <c r="Z146" i="12"/>
  <c r="AF175" i="12"/>
  <c r="AE175" i="12"/>
  <c r="AD175" i="12"/>
  <c r="AC175" i="12"/>
  <c r="AB175" i="12"/>
  <c r="AA175" i="12"/>
  <c r="P210" i="12"/>
  <c r="Y103" i="13"/>
  <c r="X103" i="13"/>
  <c r="W103" i="13"/>
  <c r="V103" i="13"/>
  <c r="U103" i="13"/>
  <c r="Z103" i="13" s="1"/>
  <c r="X126" i="13"/>
  <c r="W126" i="13"/>
  <c r="V126" i="13"/>
  <c r="U126" i="13"/>
  <c r="T126" i="13"/>
  <c r="S126" i="13"/>
  <c r="Z126" i="13" s="1"/>
  <c r="AE166" i="13"/>
  <c r="AD166" i="13"/>
  <c r="AC166" i="13"/>
  <c r="AB166" i="13"/>
  <c r="AA166" i="13"/>
  <c r="Z166" i="13"/>
  <c r="U199" i="13"/>
  <c r="T199" i="13"/>
  <c r="S199" i="13"/>
  <c r="R199" i="13"/>
  <c r="Q199" i="13"/>
  <c r="P199" i="13"/>
  <c r="W199" i="13" s="1"/>
  <c r="W225" i="13"/>
  <c r="V225" i="13"/>
  <c r="U225" i="13"/>
  <c r="T225" i="13"/>
  <c r="P225" i="13"/>
  <c r="Z74" i="14"/>
  <c r="AF74" i="14" s="1"/>
  <c r="S117" i="14"/>
  <c r="AA147" i="14"/>
  <c r="Z165" i="14"/>
  <c r="AD69" i="15"/>
  <c r="AC69" i="15"/>
  <c r="Z69" i="15"/>
  <c r="AF69" i="15" s="1"/>
  <c r="AF87" i="15"/>
  <c r="AD87" i="15"/>
  <c r="AC87" i="15"/>
  <c r="Z87" i="15"/>
  <c r="Y102" i="15"/>
  <c r="W102" i="15"/>
  <c r="V102" i="15"/>
  <c r="T102" i="15"/>
  <c r="S119" i="15"/>
  <c r="Z119" i="15" s="1"/>
  <c r="Y169" i="15"/>
  <c r="Z115" i="17"/>
  <c r="X115" i="17"/>
  <c r="Y115" i="17"/>
  <c r="W115" i="17"/>
  <c r="V115" i="17"/>
  <c r="U115" i="17"/>
  <c r="AA175" i="17"/>
  <c r="AB181" i="17"/>
  <c r="Z181" i="17"/>
  <c r="Y181" i="17"/>
  <c r="AC181" i="17"/>
  <c r="AF181" i="17"/>
  <c r="AA181" i="17"/>
  <c r="AE181" i="17"/>
  <c r="AD181" i="17"/>
  <c r="AF182" i="12"/>
  <c r="AE182" i="12"/>
  <c r="AD182" i="12"/>
  <c r="AC182" i="12"/>
  <c r="Y182" i="12"/>
  <c r="AE59" i="13"/>
  <c r="AD59" i="13"/>
  <c r="Z59" i="13"/>
  <c r="Z133" i="13"/>
  <c r="Y133" i="13"/>
  <c r="X133" i="13"/>
  <c r="W133" i="13"/>
  <c r="V133" i="13"/>
  <c r="U133" i="13"/>
  <c r="V206" i="13"/>
  <c r="U206" i="13"/>
  <c r="T206" i="13"/>
  <c r="S206" i="13"/>
  <c r="R206" i="13"/>
  <c r="W206" i="13" s="1"/>
  <c r="U229" i="13"/>
  <c r="T229" i="13"/>
  <c r="S229" i="13"/>
  <c r="R229" i="13"/>
  <c r="Q229" i="13"/>
  <c r="P229" i="13"/>
  <c r="Z91" i="14"/>
  <c r="AF91" i="14"/>
  <c r="AE91" i="14"/>
  <c r="AD91" i="14"/>
  <c r="AC91" i="14"/>
  <c r="AB91" i="14"/>
  <c r="Z122" i="22"/>
  <c r="U122" i="22"/>
  <c r="W122" i="22"/>
  <c r="V122" i="22"/>
  <c r="T122" i="22"/>
  <c r="S122" i="22"/>
  <c r="X122" i="22"/>
  <c r="Y122" i="22"/>
  <c r="Y168" i="30"/>
  <c r="AF168" i="30"/>
  <c r="AE168" i="30"/>
  <c r="AD168" i="30"/>
  <c r="AB168" i="30"/>
  <c r="AA168" i="30"/>
  <c r="AC168" i="30"/>
  <c r="V202" i="12"/>
  <c r="U202" i="12"/>
  <c r="T202" i="12"/>
  <c r="W202" i="12" s="1"/>
  <c r="S202" i="12"/>
  <c r="R202" i="12"/>
  <c r="Q202" i="12"/>
  <c r="T110" i="13"/>
  <c r="AE67" i="12"/>
  <c r="AD67" i="12"/>
  <c r="AC67" i="12"/>
  <c r="Y67" i="12"/>
  <c r="Y84" i="12"/>
  <c r="AF90" i="12"/>
  <c r="AD90" i="12"/>
  <c r="AE90" i="12"/>
  <c r="AC90" i="12"/>
  <c r="AB90" i="12"/>
  <c r="AA90" i="12"/>
  <c r="Y117" i="12"/>
  <c r="X117" i="12"/>
  <c r="W117" i="12"/>
  <c r="V117" i="12"/>
  <c r="U117" i="12"/>
  <c r="T117" i="12"/>
  <c r="Y135" i="12"/>
  <c r="X135" i="12"/>
  <c r="W135" i="12"/>
  <c r="V135" i="12"/>
  <c r="U135" i="12"/>
  <c r="T135" i="12"/>
  <c r="AE152" i="12"/>
  <c r="AD152" i="12"/>
  <c r="AC152" i="12"/>
  <c r="Y152" i="12"/>
  <c r="AF152" i="12" s="1"/>
  <c r="Y169" i="12"/>
  <c r="AF169" i="12" s="1"/>
  <c r="P196" i="12"/>
  <c r="W196" i="12" s="1"/>
  <c r="AF65" i="13"/>
  <c r="AE65" i="13"/>
  <c r="AD65" i="13"/>
  <c r="Z65" i="13"/>
  <c r="K14" i="12"/>
  <c r="AA61" i="12"/>
  <c r="Z67" i="12"/>
  <c r="AE73" i="12"/>
  <c r="AD73" i="12"/>
  <c r="AC73" i="12"/>
  <c r="Y73" i="12"/>
  <c r="Z84" i="12"/>
  <c r="Y90" i="12"/>
  <c r="S99" i="12"/>
  <c r="S117" i="12"/>
  <c r="S135" i="12"/>
  <c r="AA146" i="12"/>
  <c r="Z152" i="12"/>
  <c r="AE158" i="12"/>
  <c r="AD158" i="12"/>
  <c r="AC158" i="12"/>
  <c r="Y158" i="12"/>
  <c r="AF158" i="12" s="1"/>
  <c r="Z169" i="12"/>
  <c r="Y175" i="12"/>
  <c r="AF181" i="12"/>
  <c r="AE181" i="12"/>
  <c r="AD181" i="12"/>
  <c r="AC181" i="12"/>
  <c r="AB181" i="12"/>
  <c r="AA181" i="12"/>
  <c r="T198" i="12"/>
  <c r="V208" i="12"/>
  <c r="U208" i="12"/>
  <c r="T208" i="12"/>
  <c r="S208" i="12"/>
  <c r="R208" i="12"/>
  <c r="Q208" i="12"/>
  <c r="W208" i="12" s="1"/>
  <c r="R210" i="12"/>
  <c r="V222" i="12"/>
  <c r="U222" i="12"/>
  <c r="Q222" i="12"/>
  <c r="W222" i="12" s="1"/>
  <c r="Y65" i="13"/>
  <c r="AC83" i="13"/>
  <c r="S103" i="13"/>
  <c r="Y109" i="13"/>
  <c r="X109" i="13"/>
  <c r="W109" i="13"/>
  <c r="V109" i="13"/>
  <c r="U109" i="13"/>
  <c r="Y126" i="13"/>
  <c r="X132" i="13"/>
  <c r="W132" i="13"/>
  <c r="V132" i="13"/>
  <c r="U132" i="13"/>
  <c r="T132" i="13"/>
  <c r="S132" i="13"/>
  <c r="AC156" i="13"/>
  <c r="Y166" i="13"/>
  <c r="AA168" i="13"/>
  <c r="AF180" i="13"/>
  <c r="AE180" i="13"/>
  <c r="AD180" i="13"/>
  <c r="Z180" i="13"/>
  <c r="V199" i="13"/>
  <c r="U205" i="13"/>
  <c r="T205" i="13"/>
  <c r="S205" i="13"/>
  <c r="R205" i="13"/>
  <c r="Q205" i="13"/>
  <c r="P205" i="13"/>
  <c r="W205" i="13" s="1"/>
  <c r="R219" i="13"/>
  <c r="Q225" i="13"/>
  <c r="AD69" i="14"/>
  <c r="AE69" i="14"/>
  <c r="AC69" i="14"/>
  <c r="Y69" i="14"/>
  <c r="AC74" i="14"/>
  <c r="AC76" i="14"/>
  <c r="AE76" i="14"/>
  <c r="AD76" i="14"/>
  <c r="AB76" i="14"/>
  <c r="AA76" i="14"/>
  <c r="Z76" i="14"/>
  <c r="AF76" i="14" s="1"/>
  <c r="AD87" i="14"/>
  <c r="AA87" i="14"/>
  <c r="AF87" i="14"/>
  <c r="AE87" i="14"/>
  <c r="AC87" i="14"/>
  <c r="AB87" i="14"/>
  <c r="Z87" i="14"/>
  <c r="T117" i="14"/>
  <c r="AC147" i="14"/>
  <c r="AE162" i="14"/>
  <c r="AC162" i="14"/>
  <c r="AD162" i="14"/>
  <c r="Y162" i="14"/>
  <c r="AF162" i="14" s="1"/>
  <c r="AB171" i="14"/>
  <c r="Y171" i="14"/>
  <c r="AF171" i="14"/>
  <c r="AE171" i="14"/>
  <c r="AD171" i="14"/>
  <c r="AC171" i="14"/>
  <c r="AA171" i="14"/>
  <c r="Z171" i="14"/>
  <c r="P197" i="14"/>
  <c r="W197" i="14"/>
  <c r="V197" i="14"/>
  <c r="U197" i="14"/>
  <c r="T197" i="14"/>
  <c r="S197" i="14"/>
  <c r="R197" i="14"/>
  <c r="Q197" i="14"/>
  <c r="U201" i="14"/>
  <c r="S201" i="14"/>
  <c r="R201" i="14"/>
  <c r="W201" i="14"/>
  <c r="P201" i="14"/>
  <c r="P203" i="14"/>
  <c r="W203" i="14"/>
  <c r="V203" i="14"/>
  <c r="U203" i="14"/>
  <c r="T203" i="14"/>
  <c r="S203" i="14"/>
  <c r="U219" i="14"/>
  <c r="S219" i="14"/>
  <c r="R219" i="14"/>
  <c r="P219" i="14"/>
  <c r="W219" i="14" s="1"/>
  <c r="P221" i="14"/>
  <c r="W221" i="14"/>
  <c r="V221" i="14"/>
  <c r="U221" i="14"/>
  <c r="T221" i="14"/>
  <c r="S221" i="14"/>
  <c r="AD63" i="15"/>
  <c r="AC63" i="15"/>
  <c r="AE63" i="15"/>
  <c r="AB63" i="15"/>
  <c r="AA63" i="15"/>
  <c r="Z63" i="15"/>
  <c r="AF63" i="15" s="1"/>
  <c r="Y69" i="15"/>
  <c r="AD81" i="15"/>
  <c r="AC81" i="15"/>
  <c r="AE81" i="15"/>
  <c r="AB81" i="15"/>
  <c r="AA81" i="15"/>
  <c r="Z81" i="15"/>
  <c r="AF81" i="15" s="1"/>
  <c r="Y87" i="15"/>
  <c r="S102" i="15"/>
  <c r="T110" i="15"/>
  <c r="Z110" i="15" s="1"/>
  <c r="Y110" i="15"/>
  <c r="X110" i="15"/>
  <c r="W110" i="15"/>
  <c r="V110" i="15"/>
  <c r="X119" i="15"/>
  <c r="AC169" i="15"/>
  <c r="V208" i="16"/>
  <c r="T208" i="16"/>
  <c r="R208" i="16"/>
  <c r="Q208" i="16"/>
  <c r="W208" i="16" s="1"/>
  <c r="S208" i="16"/>
  <c r="S115" i="17"/>
  <c r="AF172" i="17"/>
  <c r="AE172" i="17"/>
  <c r="AC172" i="17"/>
  <c r="Y172" i="17"/>
  <c r="AD172" i="17"/>
  <c r="AB172" i="17"/>
  <c r="AA172" i="17"/>
  <c r="AC57" i="12"/>
  <c r="AC63" i="12"/>
  <c r="AC69" i="12"/>
  <c r="AC75" i="12"/>
  <c r="AC81" i="12"/>
  <c r="AC87" i="12"/>
  <c r="AC148" i="12"/>
  <c r="AC154" i="12"/>
  <c r="AC160" i="12"/>
  <c r="AC166" i="12"/>
  <c r="AC172" i="12"/>
  <c r="AC178" i="12"/>
  <c r="AC184" i="12"/>
  <c r="W100" i="13"/>
  <c r="W106" i="13"/>
  <c r="W112" i="13"/>
  <c r="W118" i="13"/>
  <c r="W124" i="13"/>
  <c r="W130" i="13"/>
  <c r="W136" i="13"/>
  <c r="AB145" i="13"/>
  <c r="AB151" i="13"/>
  <c r="AB157" i="13"/>
  <c r="AB163" i="13"/>
  <c r="AF163" i="13" s="1"/>
  <c r="AB169" i="13"/>
  <c r="AB175" i="13"/>
  <c r="AB181" i="13"/>
  <c r="T191" i="13"/>
  <c r="T197" i="13"/>
  <c r="T203" i="13"/>
  <c r="T209" i="13"/>
  <c r="T215" i="13"/>
  <c r="T221" i="13"/>
  <c r="T227" i="13"/>
  <c r="AC57" i="14"/>
  <c r="AB70" i="14"/>
  <c r="Y103" i="14"/>
  <c r="V103" i="14"/>
  <c r="V104" i="14"/>
  <c r="W114" i="14"/>
  <c r="T114" i="14"/>
  <c r="Y121" i="14"/>
  <c r="V121" i="14"/>
  <c r="Z121" i="14" s="1"/>
  <c r="V122" i="14"/>
  <c r="W132" i="14"/>
  <c r="T132" i="14"/>
  <c r="Z135" i="14"/>
  <c r="X135" i="14"/>
  <c r="AB153" i="14"/>
  <c r="Y153" i="14"/>
  <c r="AE168" i="14"/>
  <c r="AC168" i="14"/>
  <c r="AD176" i="14"/>
  <c r="AD178" i="14"/>
  <c r="AA178" i="14"/>
  <c r="Y178" i="14"/>
  <c r="AC182" i="14"/>
  <c r="K17" i="15"/>
  <c r="Z113" i="15"/>
  <c r="W113" i="15"/>
  <c r="U113" i="15"/>
  <c r="T113" i="15"/>
  <c r="Y132" i="15"/>
  <c r="W132" i="15"/>
  <c r="V132" i="15"/>
  <c r="Y155" i="15"/>
  <c r="AF155" i="15" s="1"/>
  <c r="AE155" i="15"/>
  <c r="AE158" i="15"/>
  <c r="AB158" i="15"/>
  <c r="Z158" i="15"/>
  <c r="Y158" i="15"/>
  <c r="AF158" i="15" s="1"/>
  <c r="AF162" i="15"/>
  <c r="AE162" i="15"/>
  <c r="AD162" i="15"/>
  <c r="AB162" i="15"/>
  <c r="AA162" i="15"/>
  <c r="R193" i="15"/>
  <c r="Q193" i="15"/>
  <c r="W193" i="15"/>
  <c r="V193" i="15"/>
  <c r="W202" i="15"/>
  <c r="V202" i="15"/>
  <c r="S202" i="15"/>
  <c r="Q202" i="15"/>
  <c r="P202" i="15"/>
  <c r="V220" i="15"/>
  <c r="U220" i="15"/>
  <c r="S220" i="15"/>
  <c r="Q220" i="15"/>
  <c r="P220" i="15"/>
  <c r="W220" i="15" s="1"/>
  <c r="AE65" i="16"/>
  <c r="AD65" i="16"/>
  <c r="AC65" i="16"/>
  <c r="Y73" i="16"/>
  <c r="AE73" i="16"/>
  <c r="AD73" i="16"/>
  <c r="AC73" i="16"/>
  <c r="AB73" i="16"/>
  <c r="AF73" i="16" s="1"/>
  <c r="AE83" i="16"/>
  <c r="AD83" i="16"/>
  <c r="AC83" i="16"/>
  <c r="AB83" i="16"/>
  <c r="AA83" i="16"/>
  <c r="Z83" i="16"/>
  <c r="Y83" i="16"/>
  <c r="AF83" i="16" s="1"/>
  <c r="Z54" i="18"/>
  <c r="AE54" i="18"/>
  <c r="AD54" i="18"/>
  <c r="AC54" i="18"/>
  <c r="AB54" i="18"/>
  <c r="AA54" i="18"/>
  <c r="AF54" i="18"/>
  <c r="Y54" i="18"/>
  <c r="AF184" i="18"/>
  <c r="AA184" i="18"/>
  <c r="AE184" i="18"/>
  <c r="AD184" i="18"/>
  <c r="AC184" i="18"/>
  <c r="AB184" i="18"/>
  <c r="Z184" i="18"/>
  <c r="Y184" i="18"/>
  <c r="AA171" i="22"/>
  <c r="Y171" i="22"/>
  <c r="AD171" i="22"/>
  <c r="AB171" i="22"/>
  <c r="AE171" i="22"/>
  <c r="AF171" i="22"/>
  <c r="AC171" i="22"/>
  <c r="Q205" i="17"/>
  <c r="V205" i="17"/>
  <c r="T205" i="17"/>
  <c r="U205" i="17"/>
  <c r="S205" i="17"/>
  <c r="AE79" i="20"/>
  <c r="AD79" i="20"/>
  <c r="AC79" i="20"/>
  <c r="AB79" i="20"/>
  <c r="Y79" i="20"/>
  <c r="AF79" i="20"/>
  <c r="AA79" i="20"/>
  <c r="Z79" i="20"/>
  <c r="AE155" i="27"/>
  <c r="AD155" i="27"/>
  <c r="Y155" i="27"/>
  <c r="Z155" i="27"/>
  <c r="AC155" i="27"/>
  <c r="AF155" i="27"/>
  <c r="AA155" i="27"/>
  <c r="AB155" i="27"/>
  <c r="AE56" i="12"/>
  <c r="AE62" i="12"/>
  <c r="AE68" i="12"/>
  <c r="AE74" i="12"/>
  <c r="AE80" i="12"/>
  <c r="AE86" i="12"/>
  <c r="AE92" i="12"/>
  <c r="V100" i="12"/>
  <c r="Z102" i="12"/>
  <c r="V106" i="12"/>
  <c r="V112" i="12"/>
  <c r="V118" i="12"/>
  <c r="V124" i="12"/>
  <c r="V130" i="12"/>
  <c r="V136" i="12"/>
  <c r="Z138" i="12"/>
  <c r="AE147" i="12"/>
  <c r="AE153" i="12"/>
  <c r="AE159" i="12"/>
  <c r="AE165" i="12"/>
  <c r="AE171" i="12"/>
  <c r="AE177" i="12"/>
  <c r="AE183" i="12"/>
  <c r="S191" i="12"/>
  <c r="W193" i="12"/>
  <c r="S197" i="12"/>
  <c r="W197" i="12" s="1"/>
  <c r="W199" i="12"/>
  <c r="S203" i="12"/>
  <c r="W205" i="12"/>
  <c r="S209" i="12"/>
  <c r="S215" i="12"/>
  <c r="W217" i="12"/>
  <c r="S221" i="12"/>
  <c r="S227" i="12"/>
  <c r="W229" i="12"/>
  <c r="AF54" i="13"/>
  <c r="AB58" i="13"/>
  <c r="AF58" i="13" s="1"/>
  <c r="AF60" i="13"/>
  <c r="AB64" i="13"/>
  <c r="AF66" i="13"/>
  <c r="AB70" i="13"/>
  <c r="AF70" i="13" s="1"/>
  <c r="AB76" i="13"/>
  <c r="AB82" i="13"/>
  <c r="AF84" i="13"/>
  <c r="AB88" i="13"/>
  <c r="AF90" i="13"/>
  <c r="AF145" i="13"/>
  <c r="AB149" i="13"/>
  <c r="AF149" i="13" s="1"/>
  <c r="AF151" i="13"/>
  <c r="AB155" i="13"/>
  <c r="AB161" i="13"/>
  <c r="AB167" i="13"/>
  <c r="AB173" i="13"/>
  <c r="AB179" i="13"/>
  <c r="AF181" i="13"/>
  <c r="AF61" i="14"/>
  <c r="AB64" i="14"/>
  <c r="W102" i="14"/>
  <c r="T102" i="14"/>
  <c r="W103" i="14"/>
  <c r="Y109" i="14"/>
  <c r="V109" i="14"/>
  <c r="V110" i="14"/>
  <c r="Y111" i="14"/>
  <c r="X114" i="14"/>
  <c r="W120" i="14"/>
  <c r="T120" i="14"/>
  <c r="W121" i="14"/>
  <c r="Y127" i="14"/>
  <c r="V127" i="14"/>
  <c r="V128" i="14"/>
  <c r="Y129" i="14"/>
  <c r="X132" i="14"/>
  <c r="X134" i="14"/>
  <c r="V134" i="14"/>
  <c r="V135" i="14"/>
  <c r="AD153" i="14"/>
  <c r="AC161" i="14"/>
  <c r="AA161" i="14"/>
  <c r="AB168" i="14"/>
  <c r="AB177" i="14"/>
  <c r="Y177" i="14"/>
  <c r="AE178" i="14"/>
  <c r="V194" i="14"/>
  <c r="S194" i="14"/>
  <c r="Q194" i="14"/>
  <c r="V200" i="14"/>
  <c r="S200" i="14"/>
  <c r="Q200" i="14"/>
  <c r="W200" i="14" s="1"/>
  <c r="K13" i="15"/>
  <c r="W101" i="15"/>
  <c r="U101" i="15"/>
  <c r="T101" i="15"/>
  <c r="Y113" i="15"/>
  <c r="Y120" i="15"/>
  <c r="W120" i="15"/>
  <c r="V120" i="15"/>
  <c r="X132" i="15"/>
  <c r="Z137" i="15"/>
  <c r="W137" i="15"/>
  <c r="U137" i="15"/>
  <c r="T137" i="15"/>
  <c r="Y149" i="15"/>
  <c r="AE149" i="15"/>
  <c r="AE152" i="15"/>
  <c r="AB152" i="15"/>
  <c r="AF152" i="15" s="1"/>
  <c r="Z152" i="15"/>
  <c r="Y152" i="15"/>
  <c r="AC155" i="15"/>
  <c r="AB166" i="15"/>
  <c r="AA166" i="15"/>
  <c r="AD166" i="15"/>
  <c r="AC166" i="15"/>
  <c r="AD173" i="15"/>
  <c r="AC173" i="15"/>
  <c r="AB173" i="15"/>
  <c r="AA173" i="15"/>
  <c r="AF180" i="15"/>
  <c r="AE180" i="15"/>
  <c r="AD180" i="15"/>
  <c r="AB180" i="15"/>
  <c r="AA180" i="15"/>
  <c r="U193" i="15"/>
  <c r="T206" i="15"/>
  <c r="S206" i="15"/>
  <c r="U206" i="15"/>
  <c r="Q206" i="15"/>
  <c r="P206" i="15"/>
  <c r="W206" i="15" s="1"/>
  <c r="V213" i="15"/>
  <c r="U213" i="15"/>
  <c r="S213" i="15"/>
  <c r="Q213" i="15"/>
  <c r="P213" i="15"/>
  <c r="W213" i="15" s="1"/>
  <c r="V221" i="15"/>
  <c r="T221" i="15"/>
  <c r="S221" i="15"/>
  <c r="W221" i="15" s="1"/>
  <c r="AB65" i="16"/>
  <c r="AF65" i="16" s="1"/>
  <c r="Z78" i="16"/>
  <c r="Y78" i="16"/>
  <c r="AF78" i="16" s="1"/>
  <c r="AE78" i="16"/>
  <c r="AD78" i="16"/>
  <c r="AC78" i="16"/>
  <c r="AB78" i="16"/>
  <c r="AA78" i="16"/>
  <c r="AE161" i="16"/>
  <c r="AC161" i="16"/>
  <c r="AB161" i="16"/>
  <c r="Z161" i="16"/>
  <c r="AA161" i="16"/>
  <c r="Y161" i="16"/>
  <c r="AF161" i="16" s="1"/>
  <c r="AD161" i="16"/>
  <c r="AE179" i="16"/>
  <c r="AC179" i="16"/>
  <c r="AB179" i="16"/>
  <c r="Z179" i="16"/>
  <c r="AA179" i="16"/>
  <c r="Y179" i="16"/>
  <c r="AF179" i="16"/>
  <c r="AD179" i="16"/>
  <c r="U206" i="16"/>
  <c r="S206" i="16"/>
  <c r="R206" i="16"/>
  <c r="P206" i="16"/>
  <c r="W206" i="16" s="1"/>
  <c r="V206" i="16"/>
  <c r="T206" i="16"/>
  <c r="X109" i="17"/>
  <c r="V109" i="17"/>
  <c r="U109" i="17"/>
  <c r="T109" i="17"/>
  <c r="Z109" i="17" s="1"/>
  <c r="AD158" i="17"/>
  <c r="AB158" i="17"/>
  <c r="AA158" i="17"/>
  <c r="AF158" i="17" s="1"/>
  <c r="Y158" i="17"/>
  <c r="AE158" i="17"/>
  <c r="AC158" i="17"/>
  <c r="P205" i="17"/>
  <c r="W205" i="17" s="1"/>
  <c r="Q223" i="17"/>
  <c r="V223" i="17"/>
  <c r="U223" i="17"/>
  <c r="T223" i="17"/>
  <c r="S223" i="17"/>
  <c r="W223" i="17"/>
  <c r="R223" i="17"/>
  <c r="P223" i="17"/>
  <c r="AC76" i="18"/>
  <c r="AF76" i="18"/>
  <c r="AE76" i="18"/>
  <c r="AD76" i="18"/>
  <c r="Y76" i="18"/>
  <c r="AC82" i="18"/>
  <c r="AE82" i="18"/>
  <c r="AD82" i="18"/>
  <c r="AB82" i="18"/>
  <c r="AA82" i="18"/>
  <c r="Z82" i="18"/>
  <c r="Y82" i="18"/>
  <c r="U124" i="18"/>
  <c r="Z124" i="18"/>
  <c r="Y124" i="18"/>
  <c r="X124" i="18"/>
  <c r="W124" i="18"/>
  <c r="V124" i="18"/>
  <c r="T124" i="18"/>
  <c r="S124" i="18"/>
  <c r="AF90" i="20"/>
  <c r="AC90" i="20"/>
  <c r="AE90" i="20"/>
  <c r="AA90" i="20"/>
  <c r="Z90" i="20"/>
  <c r="AD90" i="20"/>
  <c r="AB90" i="20"/>
  <c r="Y55" i="22"/>
  <c r="AF55" i="22"/>
  <c r="AE55" i="22"/>
  <c r="AD55" i="22"/>
  <c r="AC55" i="22"/>
  <c r="AB55" i="22"/>
  <c r="E5" i="22" s="1"/>
  <c r="Z55" i="22"/>
  <c r="AA55" i="22"/>
  <c r="T226" i="26"/>
  <c r="Q226" i="26"/>
  <c r="V226" i="26"/>
  <c r="U226" i="26"/>
  <c r="R226" i="26"/>
  <c r="P226" i="26"/>
  <c r="W226" i="26"/>
  <c r="S226" i="26"/>
  <c r="W100" i="12"/>
  <c r="W106" i="12"/>
  <c r="W112" i="12"/>
  <c r="W118" i="12"/>
  <c r="W124" i="12"/>
  <c r="W130" i="12"/>
  <c r="W136" i="12"/>
  <c r="T191" i="12"/>
  <c r="T197" i="12"/>
  <c r="T203" i="12"/>
  <c r="T209" i="12"/>
  <c r="T215" i="12"/>
  <c r="T221" i="12"/>
  <c r="T227" i="12"/>
  <c r="AC58" i="13"/>
  <c r="AC64" i="13"/>
  <c r="AC70" i="13"/>
  <c r="AC76" i="13"/>
  <c r="AF76" i="13" s="1"/>
  <c r="AC82" i="13"/>
  <c r="AC88" i="13"/>
  <c r="AC149" i="13"/>
  <c r="AC155" i="13"/>
  <c r="AC161" i="13"/>
  <c r="AC167" i="13"/>
  <c r="AC173" i="13"/>
  <c r="AC179" i="13"/>
  <c r="AC64" i="14"/>
  <c r="X103" i="14"/>
  <c r="W110" i="14"/>
  <c r="Y114" i="14"/>
  <c r="X121" i="14"/>
  <c r="W128" i="14"/>
  <c r="Y132" i="14"/>
  <c r="W135" i="14"/>
  <c r="AE153" i="14"/>
  <c r="AC167" i="14"/>
  <c r="AA167" i="14"/>
  <c r="AD168" i="14"/>
  <c r="AF178" i="14"/>
  <c r="AB183" i="14"/>
  <c r="Y183" i="14"/>
  <c r="P215" i="14"/>
  <c r="W215" i="14" s="1"/>
  <c r="V215" i="14"/>
  <c r="V218" i="14"/>
  <c r="S218" i="14"/>
  <c r="Q218" i="14"/>
  <c r="P218" i="14"/>
  <c r="AE55" i="15"/>
  <c r="AB55" i="15"/>
  <c r="Z55" i="15"/>
  <c r="Y55" i="15"/>
  <c r="Y70" i="15"/>
  <c r="AF70" i="15" s="1"/>
  <c r="AE70" i="15"/>
  <c r="AE73" i="15"/>
  <c r="AB73" i="15"/>
  <c r="Z73" i="15"/>
  <c r="Y73" i="15"/>
  <c r="AF73" i="15" s="1"/>
  <c r="Y88" i="15"/>
  <c r="AF88" i="15"/>
  <c r="AE88" i="15"/>
  <c r="AE91" i="15"/>
  <c r="AB91" i="15"/>
  <c r="Z91" i="15"/>
  <c r="Y91" i="15"/>
  <c r="V123" i="15"/>
  <c r="S123" i="15"/>
  <c r="Z132" i="15"/>
  <c r="T134" i="15"/>
  <c r="Z134" i="15"/>
  <c r="AD154" i="15"/>
  <c r="AC154" i="15"/>
  <c r="AF154" i="15" s="1"/>
  <c r="AD155" i="15"/>
  <c r="Y163" i="15"/>
  <c r="AE163" i="15"/>
  <c r="V203" i="15"/>
  <c r="T203" i="15"/>
  <c r="S203" i="15"/>
  <c r="AE76" i="16"/>
  <c r="AC76" i="16"/>
  <c r="AD76" i="16"/>
  <c r="Y152" i="16"/>
  <c r="AF152" i="16" s="1"/>
  <c r="AE152" i="16"/>
  <c r="AD152" i="16"/>
  <c r="S199" i="16"/>
  <c r="Q199" i="16"/>
  <c r="W199" i="16" s="1"/>
  <c r="P199" i="16"/>
  <c r="W201" i="16"/>
  <c r="U201" i="16"/>
  <c r="T201" i="16"/>
  <c r="R201" i="16"/>
  <c r="V201" i="16"/>
  <c r="S128" i="17"/>
  <c r="Z128" i="17"/>
  <c r="Y128" i="17"/>
  <c r="X128" i="17"/>
  <c r="R205" i="17"/>
  <c r="S117" i="18"/>
  <c r="Z117" i="18"/>
  <c r="Y117" i="18"/>
  <c r="X117" i="18"/>
  <c r="W117" i="18"/>
  <c r="V117" i="18"/>
  <c r="T117" i="18"/>
  <c r="AE86" i="21"/>
  <c r="AD86" i="21"/>
  <c r="AC86" i="21"/>
  <c r="AB86" i="21"/>
  <c r="Z86" i="21"/>
  <c r="Y86" i="21"/>
  <c r="AA86" i="21"/>
  <c r="AF86" i="21"/>
  <c r="AF72" i="20"/>
  <c r="AC72" i="20"/>
  <c r="AE72" i="20"/>
  <c r="AD72" i="20"/>
  <c r="AB72" i="20"/>
  <c r="Y72" i="20"/>
  <c r="AA72" i="20"/>
  <c r="Z72" i="20"/>
  <c r="V215" i="21"/>
  <c r="Q215" i="21"/>
  <c r="U215" i="21"/>
  <c r="P215" i="21"/>
  <c r="T215" i="21"/>
  <c r="S215" i="21"/>
  <c r="R215" i="21"/>
  <c r="W215" i="21"/>
  <c r="X100" i="12"/>
  <c r="X106" i="12"/>
  <c r="X112" i="12"/>
  <c r="X118" i="12"/>
  <c r="X124" i="12"/>
  <c r="X130" i="12"/>
  <c r="X136" i="12"/>
  <c r="U191" i="12"/>
  <c r="U197" i="12"/>
  <c r="U203" i="12"/>
  <c r="U209" i="12"/>
  <c r="U215" i="12"/>
  <c r="U221" i="12"/>
  <c r="U227" i="12"/>
  <c r="AD58" i="13"/>
  <c r="AD64" i="13"/>
  <c r="AD70" i="13"/>
  <c r="AD76" i="13"/>
  <c r="AD82" i="13"/>
  <c r="AD88" i="13"/>
  <c r="S101" i="13"/>
  <c r="Z101" i="13" s="1"/>
  <c r="S107" i="13"/>
  <c r="Z107" i="13" s="1"/>
  <c r="S113" i="13"/>
  <c r="Z113" i="13" s="1"/>
  <c r="S119" i="13"/>
  <c r="S125" i="13"/>
  <c r="Z125" i="13" s="1"/>
  <c r="S131" i="13"/>
  <c r="S137" i="13"/>
  <c r="P192" i="13"/>
  <c r="P198" i="13"/>
  <c r="W198" i="13" s="1"/>
  <c r="P204" i="13"/>
  <c r="W204" i="13" s="1"/>
  <c r="P210" i="13"/>
  <c r="P216" i="13"/>
  <c r="W216" i="13" s="1"/>
  <c r="P222" i="13"/>
  <c r="P228" i="13"/>
  <c r="Y53" i="14"/>
  <c r="AF53" i="14" s="1"/>
  <c r="Z58" i="14"/>
  <c r="AD64" i="14"/>
  <c r="Y67" i="14"/>
  <c r="Y71" i="14"/>
  <c r="AF71" i="14" s="1"/>
  <c r="AD75" i="14"/>
  <c r="AA75" i="14"/>
  <c r="AF75" i="14" s="1"/>
  <c r="Y79" i="14"/>
  <c r="AC82" i="14"/>
  <c r="AB86" i="14"/>
  <c r="Y86" i="14"/>
  <c r="U102" i="14"/>
  <c r="Z103" i="14"/>
  <c r="S105" i="14"/>
  <c r="Z105" i="14" s="1"/>
  <c r="T109" i="14"/>
  <c r="Z109" i="14" s="1"/>
  <c r="Y110" i="14"/>
  <c r="Z114" i="14"/>
  <c r="T116" i="14"/>
  <c r="U120" i="14"/>
  <c r="S123" i="14"/>
  <c r="Z123" i="14" s="1"/>
  <c r="T127" i="14"/>
  <c r="Y128" i="14"/>
  <c r="Z132" i="14"/>
  <c r="T134" i="14"/>
  <c r="Y135" i="14"/>
  <c r="AF153" i="14"/>
  <c r="AA158" i="14"/>
  <c r="AF158" i="14" s="1"/>
  <c r="Z161" i="14"/>
  <c r="AF161" i="14" s="1"/>
  <c r="Y164" i="14"/>
  <c r="AF164" i="14" s="1"/>
  <c r="Y167" i="14"/>
  <c r="AF167" i="14" s="1"/>
  <c r="AF168" i="14"/>
  <c r="AC173" i="14"/>
  <c r="AA173" i="14"/>
  <c r="AF173" i="14" s="1"/>
  <c r="AA177" i="14"/>
  <c r="Z183" i="14"/>
  <c r="R194" i="14"/>
  <c r="R200" i="14"/>
  <c r="W202" i="14"/>
  <c r="U202" i="14"/>
  <c r="T202" i="14"/>
  <c r="Q215" i="14"/>
  <c r="R218" i="14"/>
  <c r="W218" i="14" s="1"/>
  <c r="U220" i="14"/>
  <c r="T220" i="14"/>
  <c r="W220" i="14" s="1"/>
  <c r="K11" i="15"/>
  <c r="AA55" i="15"/>
  <c r="AD57" i="15"/>
  <c r="AC57" i="15"/>
  <c r="Z70" i="15"/>
  <c r="AA73" i="15"/>
  <c r="AD75" i="15"/>
  <c r="AC75" i="15"/>
  <c r="Z88" i="15"/>
  <c r="AA91" i="15"/>
  <c r="V101" i="15"/>
  <c r="Y114" i="15"/>
  <c r="W114" i="15"/>
  <c r="V114" i="15"/>
  <c r="Z114" i="15" s="1"/>
  <c r="T120" i="15"/>
  <c r="Z120" i="15" s="1"/>
  <c r="T123" i="15"/>
  <c r="Z123" i="15" s="1"/>
  <c r="W131" i="15"/>
  <c r="U131" i="15"/>
  <c r="Z131" i="15" s="1"/>
  <c r="T131" i="15"/>
  <c r="S134" i="15"/>
  <c r="V137" i="15"/>
  <c r="AA149" i="15"/>
  <c r="AC152" i="15"/>
  <c r="Y154" i="15"/>
  <c r="Z159" i="15"/>
  <c r="Y159" i="15"/>
  <c r="AF159" i="15"/>
  <c r="AD159" i="15"/>
  <c r="AC159" i="15"/>
  <c r="Z163" i="15"/>
  <c r="AF163" i="15" s="1"/>
  <c r="Z166" i="15"/>
  <c r="Z173" i="15"/>
  <c r="Z180" i="15"/>
  <c r="U196" i="15"/>
  <c r="T196" i="15"/>
  <c r="R199" i="15"/>
  <c r="Q199" i="15"/>
  <c r="U199" i="15"/>
  <c r="S199" i="15"/>
  <c r="P199" i="15"/>
  <c r="W199" i="15" s="1"/>
  <c r="P203" i="15"/>
  <c r="W203" i="15" s="1"/>
  <c r="V206" i="15"/>
  <c r="T213" i="15"/>
  <c r="Q221" i="15"/>
  <c r="Y76" i="16"/>
  <c r="AF76" i="16" s="1"/>
  <c r="Y79" i="16"/>
  <c r="AC79" i="16"/>
  <c r="AB79" i="16"/>
  <c r="AA92" i="16"/>
  <c r="Y92" i="16"/>
  <c r="AF92" i="16"/>
  <c r="AE92" i="16"/>
  <c r="AD92" i="16"/>
  <c r="AC92" i="16"/>
  <c r="Z152" i="16"/>
  <c r="Y170" i="16"/>
  <c r="AF170" i="16"/>
  <c r="AE170" i="16"/>
  <c r="AD170" i="16"/>
  <c r="AC170" i="16"/>
  <c r="AB170" i="16"/>
  <c r="R199" i="16"/>
  <c r="P201" i="16"/>
  <c r="AB60" i="17"/>
  <c r="Z60" i="17"/>
  <c r="Y60" i="17"/>
  <c r="AD60" i="17"/>
  <c r="AC60" i="17"/>
  <c r="AA60" i="17"/>
  <c r="AD80" i="17"/>
  <c r="AC80" i="17"/>
  <c r="AA80" i="17"/>
  <c r="Z80" i="17"/>
  <c r="AF80" i="17" s="1"/>
  <c r="AE80" i="17"/>
  <c r="Y107" i="17"/>
  <c r="W107" i="17"/>
  <c r="V107" i="17"/>
  <c r="T107" i="17"/>
  <c r="Z107" i="17" s="1"/>
  <c r="X107" i="17"/>
  <c r="W109" i="17"/>
  <c r="T128" i="17"/>
  <c r="V198" i="17"/>
  <c r="T198" i="17"/>
  <c r="S198" i="17"/>
  <c r="Q198" i="17"/>
  <c r="W198" i="17" s="1"/>
  <c r="R198" i="17"/>
  <c r="AA76" i="18"/>
  <c r="S99" i="18"/>
  <c r="Z99" i="18"/>
  <c r="Y99" i="18"/>
  <c r="U99" i="18"/>
  <c r="X99" i="18"/>
  <c r="W99" i="18"/>
  <c r="V99" i="18"/>
  <c r="T99" i="18"/>
  <c r="U117" i="18"/>
  <c r="X128" i="18"/>
  <c r="Z128" i="18"/>
  <c r="Y128" i="18"/>
  <c r="W128" i="18"/>
  <c r="V128" i="18"/>
  <c r="U128" i="18"/>
  <c r="T128" i="18"/>
  <c r="X117" i="19"/>
  <c r="V117" i="19"/>
  <c r="S117" i="19"/>
  <c r="Z117" i="19"/>
  <c r="T117" i="19"/>
  <c r="U117" i="19"/>
  <c r="X135" i="19"/>
  <c r="W135" i="19"/>
  <c r="V135" i="19"/>
  <c r="S135" i="19"/>
  <c r="Z135" i="19"/>
  <c r="Y135" i="19"/>
  <c r="AD148" i="14"/>
  <c r="AA148" i="14"/>
  <c r="Y148" i="14"/>
  <c r="AF148" i="14" s="1"/>
  <c r="AF179" i="14"/>
  <c r="AC179" i="14"/>
  <c r="AA179" i="14"/>
  <c r="U196" i="14"/>
  <c r="U207" i="14"/>
  <c r="S207" i="14"/>
  <c r="R207" i="14"/>
  <c r="U225" i="14"/>
  <c r="S225" i="14"/>
  <c r="R225" i="14"/>
  <c r="K16" i="15"/>
  <c r="AD62" i="15"/>
  <c r="AB62" i="15"/>
  <c r="AA62" i="15"/>
  <c r="AD80" i="15"/>
  <c r="AB80" i="15"/>
  <c r="AA80" i="15"/>
  <c r="V117" i="15"/>
  <c r="S117" i="15"/>
  <c r="Z117" i="15" s="1"/>
  <c r="T128" i="15"/>
  <c r="R217" i="15"/>
  <c r="Q217" i="15"/>
  <c r="W217" i="15"/>
  <c r="U217" i="15"/>
  <c r="S217" i="15"/>
  <c r="P217" i="15"/>
  <c r="V225" i="15"/>
  <c r="U225" i="15"/>
  <c r="W225" i="15"/>
  <c r="T225" i="15"/>
  <c r="AF58" i="16"/>
  <c r="AE58" i="16"/>
  <c r="AD58" i="16"/>
  <c r="AC58" i="16"/>
  <c r="AB58" i="16"/>
  <c r="AA58" i="16"/>
  <c r="Z58" i="16"/>
  <c r="AE70" i="16"/>
  <c r="AC70" i="16"/>
  <c r="AD70" i="16"/>
  <c r="AB70" i="16"/>
  <c r="AA70" i="16"/>
  <c r="Z70" i="16"/>
  <c r="X109" i="16"/>
  <c r="V109" i="16"/>
  <c r="W109" i="16"/>
  <c r="U109" i="16"/>
  <c r="Y109" i="16"/>
  <c r="T109" i="16"/>
  <c r="S109" i="16"/>
  <c r="Z109" i="16" s="1"/>
  <c r="AE57" i="17"/>
  <c r="AC57" i="17"/>
  <c r="AD57" i="17"/>
  <c r="AB57" i="17"/>
  <c r="AA57" i="17"/>
  <c r="AE63" i="17"/>
  <c r="AC63" i="17"/>
  <c r="AD63" i="17"/>
  <c r="AB63" i="17"/>
  <c r="AA63" i="17"/>
  <c r="Z63" i="17"/>
  <c r="Y63" i="17"/>
  <c r="AD159" i="17"/>
  <c r="AC159" i="17"/>
  <c r="AA159" i="17"/>
  <c r="Y159" i="17"/>
  <c r="AF159" i="17" s="1"/>
  <c r="AE159" i="17"/>
  <c r="AB159" i="17"/>
  <c r="Z72" i="18"/>
  <c r="AE72" i="18"/>
  <c r="AD72" i="18"/>
  <c r="AC72" i="18"/>
  <c r="AB72" i="18"/>
  <c r="AF72" i="18"/>
  <c r="Z90" i="18"/>
  <c r="AF90" i="18"/>
  <c r="AE90" i="18"/>
  <c r="AD90" i="18"/>
  <c r="AC90" i="18"/>
  <c r="AB90" i="18"/>
  <c r="AA90" i="18"/>
  <c r="S105" i="18"/>
  <c r="Z105" i="18"/>
  <c r="Y105" i="18"/>
  <c r="X105" i="18"/>
  <c r="W105" i="18"/>
  <c r="V105" i="18"/>
  <c r="U105" i="18"/>
  <c r="T105" i="18"/>
  <c r="Z57" i="20"/>
  <c r="AB57" i="20"/>
  <c r="AA57" i="20"/>
  <c r="Y57" i="20"/>
  <c r="AE57" i="20"/>
  <c r="AD57" i="20"/>
  <c r="AF57" i="20"/>
  <c r="AC57" i="20"/>
  <c r="Y63" i="12"/>
  <c r="AF63" i="12" s="1"/>
  <c r="Y69" i="12"/>
  <c r="AF69" i="12" s="1"/>
  <c r="Y148" i="12"/>
  <c r="AF148" i="12" s="1"/>
  <c r="Y154" i="12"/>
  <c r="AF154" i="12" s="1"/>
  <c r="Y166" i="12"/>
  <c r="AF166" i="12" s="1"/>
  <c r="Y172" i="12"/>
  <c r="Y178" i="12"/>
  <c r="AF178" i="12" s="1"/>
  <c r="Y184" i="12"/>
  <c r="S100" i="13"/>
  <c r="S106" i="13"/>
  <c r="S112" i="13"/>
  <c r="Z112" i="13" s="1"/>
  <c r="S118" i="13"/>
  <c r="S124" i="13"/>
  <c r="Z124" i="13" s="1"/>
  <c r="S130" i="13"/>
  <c r="Z130" i="13" s="1"/>
  <c r="S136" i="13"/>
  <c r="P191" i="13"/>
  <c r="W191" i="13" s="1"/>
  <c r="P197" i="13"/>
  <c r="P203" i="13"/>
  <c r="W203" i="13" s="1"/>
  <c r="P209" i="13"/>
  <c r="P215" i="13"/>
  <c r="W215" i="13" s="1"/>
  <c r="P221" i="13"/>
  <c r="W221" i="13" s="1"/>
  <c r="P227" i="13"/>
  <c r="Y57" i="14"/>
  <c r="W108" i="14"/>
  <c r="T108" i="14"/>
  <c r="Y115" i="14"/>
  <c r="V115" i="14"/>
  <c r="W126" i="14"/>
  <c r="T126" i="14"/>
  <c r="Y133" i="14"/>
  <c r="V133" i="14"/>
  <c r="S136" i="14"/>
  <c r="Z136" i="14"/>
  <c r="Z148" i="14"/>
  <c r="AD154" i="14"/>
  <c r="AA154" i="14"/>
  <c r="Y154" i="14"/>
  <c r="Y176" i="14"/>
  <c r="Y179" i="14"/>
  <c r="P196" i="14"/>
  <c r="W196" i="14" s="1"/>
  <c r="P207" i="14"/>
  <c r="W207" i="14" s="1"/>
  <c r="P225" i="14"/>
  <c r="Y62" i="15"/>
  <c r="AF62" i="15" s="1"/>
  <c r="Y80" i="15"/>
  <c r="Y108" i="15"/>
  <c r="W108" i="15"/>
  <c r="V108" i="15"/>
  <c r="T117" i="15"/>
  <c r="W125" i="15"/>
  <c r="U125" i="15"/>
  <c r="T125" i="15"/>
  <c r="S128" i="15"/>
  <c r="Z128" i="15" s="1"/>
  <c r="AE146" i="15"/>
  <c r="AB146" i="15"/>
  <c r="Z146" i="15"/>
  <c r="Y146" i="15"/>
  <c r="AF146" i="15" s="1"/>
  <c r="AB184" i="15"/>
  <c r="AA184" i="15"/>
  <c r="AF184" i="15"/>
  <c r="AD184" i="15"/>
  <c r="AC184" i="15"/>
  <c r="U214" i="15"/>
  <c r="T214" i="15"/>
  <c r="W214" i="15" s="1"/>
  <c r="T217" i="15"/>
  <c r="P225" i="15"/>
  <c r="Y58" i="16"/>
  <c r="AA62" i="16"/>
  <c r="Y62" i="16"/>
  <c r="AE62" i="16"/>
  <c r="AD62" i="16"/>
  <c r="AC62" i="16"/>
  <c r="AB62" i="16"/>
  <c r="Y70" i="16"/>
  <c r="AF70" i="16" s="1"/>
  <c r="Y57" i="17"/>
  <c r="Y132" i="17"/>
  <c r="X132" i="17"/>
  <c r="V132" i="17"/>
  <c r="U132" i="17"/>
  <c r="T132" i="17"/>
  <c r="S132" i="17"/>
  <c r="Z132" i="17"/>
  <c r="W132" i="17"/>
  <c r="Z159" i="17"/>
  <c r="AD68" i="18"/>
  <c r="Y68" i="18"/>
  <c r="AF68" i="18"/>
  <c r="AC68" i="18"/>
  <c r="AB68" i="18"/>
  <c r="AA68" i="18"/>
  <c r="Z68" i="18"/>
  <c r="Y72" i="18"/>
  <c r="AD86" i="18"/>
  <c r="Y86" i="18"/>
  <c r="AF86" i="18"/>
  <c r="AE86" i="18"/>
  <c r="AC86" i="18"/>
  <c r="AB86" i="18"/>
  <c r="AA86" i="18"/>
  <c r="Z86" i="18"/>
  <c r="Y90" i="18"/>
  <c r="Y57" i="12"/>
  <c r="Y75" i="12"/>
  <c r="Y81" i="12"/>
  <c r="Y87" i="12"/>
  <c r="Y160" i="12"/>
  <c r="AF160" i="12" s="1"/>
  <c r="Z57" i="14"/>
  <c r="AC67" i="14"/>
  <c r="Y70" i="14"/>
  <c r="AF70" i="14" s="1"/>
  <c r="AC79" i="14"/>
  <c r="S104" i="14"/>
  <c r="V105" i="14"/>
  <c r="S108" i="14"/>
  <c r="S115" i="14"/>
  <c r="S122" i="14"/>
  <c r="Z122" i="14" s="1"/>
  <c r="V123" i="14"/>
  <c r="S126" i="14"/>
  <c r="S133" i="14"/>
  <c r="T136" i="14"/>
  <c r="AB148" i="14"/>
  <c r="AE150" i="14"/>
  <c r="AC150" i="14"/>
  <c r="Z154" i="14"/>
  <c r="AD160" i="14"/>
  <c r="AA160" i="14"/>
  <c r="Y160" i="14"/>
  <c r="AF160" i="14" s="1"/>
  <c r="AC164" i="14"/>
  <c r="AD167" i="14"/>
  <c r="AA176" i="14"/>
  <c r="AE177" i="14"/>
  <c r="Z179" i="14"/>
  <c r="Y182" i="14"/>
  <c r="AD183" i="14"/>
  <c r="W194" i="14"/>
  <c r="Q196" i="14"/>
  <c r="Q207" i="14"/>
  <c r="P209" i="14"/>
  <c r="W209" i="14" s="1"/>
  <c r="V209" i="14"/>
  <c r="V212" i="14"/>
  <c r="S212" i="14"/>
  <c r="Q212" i="14"/>
  <c r="P212" i="14"/>
  <c r="W212" i="14" s="1"/>
  <c r="T215" i="14"/>
  <c r="Q225" i="14"/>
  <c r="P227" i="14"/>
  <c r="W227" i="14"/>
  <c r="V227" i="14"/>
  <c r="V230" i="14"/>
  <c r="S230" i="14"/>
  <c r="Q230" i="14"/>
  <c r="P230" i="14"/>
  <c r="K14" i="15"/>
  <c r="Z62" i="15"/>
  <c r="Y64" i="15"/>
  <c r="AF64" i="15"/>
  <c r="AE64" i="15"/>
  <c r="AE67" i="15"/>
  <c r="AB67" i="15"/>
  <c r="Z67" i="15"/>
  <c r="Y67" i="15"/>
  <c r="AF67" i="15" s="1"/>
  <c r="AC70" i="15"/>
  <c r="Z80" i="15"/>
  <c r="Y82" i="15"/>
  <c r="AF82" i="15" s="1"/>
  <c r="AE82" i="15"/>
  <c r="AE85" i="15"/>
  <c r="AB85" i="15"/>
  <c r="Z85" i="15"/>
  <c r="Y85" i="15"/>
  <c r="AC88" i="15"/>
  <c r="AF91" i="15"/>
  <c r="S108" i="15"/>
  <c r="Z108" i="15" s="1"/>
  <c r="V111" i="15"/>
  <c r="S111" i="15"/>
  <c r="U117" i="15"/>
  <c r="T122" i="15"/>
  <c r="Z122" i="15"/>
  <c r="X123" i="15"/>
  <c r="S125" i="15"/>
  <c r="Z125" i="15" s="1"/>
  <c r="U128" i="15"/>
  <c r="W134" i="15"/>
  <c r="AA146" i="15"/>
  <c r="AD148" i="15"/>
  <c r="AC148" i="15"/>
  <c r="AD149" i="15"/>
  <c r="AB154" i="15"/>
  <c r="AC163" i="15"/>
  <c r="AD167" i="15"/>
  <c r="AC167" i="15"/>
  <c r="Y167" i="15"/>
  <c r="AF167" i="15" s="1"/>
  <c r="AE174" i="15"/>
  <c r="Y174" i="15"/>
  <c r="AF174" i="15" s="1"/>
  <c r="Y181" i="15"/>
  <c r="AF181" i="15"/>
  <c r="AE181" i="15"/>
  <c r="Y184" i="15"/>
  <c r="U203" i="15"/>
  <c r="V207" i="15"/>
  <c r="U207" i="15"/>
  <c r="T207" i="15"/>
  <c r="W207" i="15" s="1"/>
  <c r="P214" i="15"/>
  <c r="V217" i="15"/>
  <c r="Q225" i="15"/>
  <c r="Z62" i="16"/>
  <c r="AF62" i="16" s="1"/>
  <c r="AA68" i="16"/>
  <c r="Y68" i="16"/>
  <c r="AF68" i="16" s="1"/>
  <c r="AC68" i="16"/>
  <c r="AB68" i="16"/>
  <c r="AE68" i="16"/>
  <c r="AB76" i="16"/>
  <c r="Z135" i="16"/>
  <c r="Y135" i="16"/>
  <c r="W135" i="16"/>
  <c r="X135" i="16"/>
  <c r="V135" i="16"/>
  <c r="V138" i="16"/>
  <c r="T138" i="16"/>
  <c r="S138" i="16"/>
  <c r="X138" i="16"/>
  <c r="W138" i="16"/>
  <c r="AC152" i="16"/>
  <c r="U194" i="16"/>
  <c r="S194" i="16"/>
  <c r="R194" i="16"/>
  <c r="P194" i="16"/>
  <c r="Q194" i="16"/>
  <c r="W194" i="16"/>
  <c r="V199" i="16"/>
  <c r="Z57" i="17"/>
  <c r="Y126" i="17"/>
  <c r="X126" i="17"/>
  <c r="V126" i="17"/>
  <c r="T126" i="17"/>
  <c r="Z126" i="17"/>
  <c r="W128" i="17"/>
  <c r="AD146" i="17"/>
  <c r="AB146" i="17"/>
  <c r="AA146" i="17"/>
  <c r="Y146" i="17"/>
  <c r="AF146" i="17" s="1"/>
  <c r="Z146" i="17"/>
  <c r="AE68" i="18"/>
  <c r="AA72" i="18"/>
  <c r="P214" i="18"/>
  <c r="W214" i="18"/>
  <c r="V214" i="18"/>
  <c r="U214" i="18"/>
  <c r="T214" i="18"/>
  <c r="S214" i="18"/>
  <c r="R214" i="18"/>
  <c r="Q214" i="18"/>
  <c r="Z124" i="19"/>
  <c r="X124" i="19"/>
  <c r="U124" i="19"/>
  <c r="Y124" i="19"/>
  <c r="W124" i="19"/>
  <c r="V124" i="19"/>
  <c r="T124" i="19"/>
  <c r="S124" i="19"/>
  <c r="Y99" i="16"/>
  <c r="X121" i="16"/>
  <c r="V121" i="16"/>
  <c r="AE149" i="16"/>
  <c r="AC149" i="16"/>
  <c r="AB149" i="16"/>
  <c r="Z149" i="16"/>
  <c r="AE156" i="16"/>
  <c r="AD156" i="16"/>
  <c r="AB156" i="16"/>
  <c r="AC156" i="16"/>
  <c r="AA156" i="16"/>
  <c r="S229" i="16"/>
  <c r="Q229" i="16"/>
  <c r="P229" i="16"/>
  <c r="T229" i="16"/>
  <c r="AD55" i="17"/>
  <c r="AB55" i="17"/>
  <c r="AA55" i="17"/>
  <c r="Y55" i="17"/>
  <c r="AE55" i="17"/>
  <c r="AD61" i="17"/>
  <c r="AB61" i="17"/>
  <c r="AA61" i="17"/>
  <c r="Y61" i="17"/>
  <c r="Y102" i="17"/>
  <c r="X102" i="17"/>
  <c r="V102" i="17"/>
  <c r="Z102" i="17" s="1"/>
  <c r="S110" i="17"/>
  <c r="Z110" i="17" s="1"/>
  <c r="Y110" i="17"/>
  <c r="AD147" i="17"/>
  <c r="AC147" i="17"/>
  <c r="AA147" i="17"/>
  <c r="AE147" i="17"/>
  <c r="AB147" i="17"/>
  <c r="Z147" i="17"/>
  <c r="AF147" i="17" s="1"/>
  <c r="V199" i="17"/>
  <c r="U199" i="17"/>
  <c r="S199" i="17"/>
  <c r="T199" i="17"/>
  <c r="R199" i="17"/>
  <c r="U219" i="17"/>
  <c r="P219" i="17"/>
  <c r="W219" i="17"/>
  <c r="T219" i="17"/>
  <c r="S219" i="17"/>
  <c r="R219" i="17"/>
  <c r="Q219" i="17"/>
  <c r="AC173" i="18"/>
  <c r="AF173" i="18"/>
  <c r="AE173" i="18"/>
  <c r="AD173" i="18"/>
  <c r="AB173" i="18"/>
  <c r="AA173" i="18"/>
  <c r="Z173" i="18"/>
  <c r="AE66" i="19"/>
  <c r="AC66" i="19"/>
  <c r="Z66" i="19"/>
  <c r="AF66" i="19"/>
  <c r="AD66" i="19"/>
  <c r="AB66" i="19"/>
  <c r="AA66" i="19"/>
  <c r="Y66" i="19"/>
  <c r="S201" i="19"/>
  <c r="R201" i="19"/>
  <c r="Q201" i="19"/>
  <c r="V201" i="19"/>
  <c r="U201" i="19"/>
  <c r="W201" i="19"/>
  <c r="T201" i="19"/>
  <c r="V106" i="21"/>
  <c r="U106" i="21"/>
  <c r="T106" i="21"/>
  <c r="S106" i="21"/>
  <c r="Y106" i="21"/>
  <c r="Z106" i="21"/>
  <c r="X106" i="21"/>
  <c r="W106" i="21"/>
  <c r="X126" i="23"/>
  <c r="Y126" i="23"/>
  <c r="V126" i="23"/>
  <c r="U126" i="23"/>
  <c r="T126" i="23"/>
  <c r="W126" i="23"/>
  <c r="Z126" i="23"/>
  <c r="S126" i="23"/>
  <c r="W208" i="27"/>
  <c r="S208" i="27"/>
  <c r="Q208" i="27"/>
  <c r="P208" i="27"/>
  <c r="V208" i="27"/>
  <c r="U208" i="27"/>
  <c r="T208" i="27"/>
  <c r="R208" i="27"/>
  <c r="Z138" i="30"/>
  <c r="Y138" i="30"/>
  <c r="X138" i="30"/>
  <c r="V138" i="30"/>
  <c r="U138" i="30"/>
  <c r="T138" i="30"/>
  <c r="S138" i="30"/>
  <c r="W138" i="30"/>
  <c r="V224" i="30"/>
  <c r="U224" i="30"/>
  <c r="T224" i="30"/>
  <c r="S224" i="30"/>
  <c r="W224" i="30"/>
  <c r="R224" i="30"/>
  <c r="Q224" i="30"/>
  <c r="P224" i="30"/>
  <c r="AF79" i="31"/>
  <c r="AE79" i="31"/>
  <c r="AD79" i="31"/>
  <c r="AC79" i="31"/>
  <c r="AB79" i="31"/>
  <c r="Z79" i="31"/>
  <c r="Y79" i="31"/>
  <c r="AA79" i="31"/>
  <c r="S100" i="15"/>
  <c r="S106" i="15"/>
  <c r="S112" i="15"/>
  <c r="S118" i="15"/>
  <c r="S124" i="15"/>
  <c r="S130" i="15"/>
  <c r="S136" i="15"/>
  <c r="AD161" i="15"/>
  <c r="AC161" i="15"/>
  <c r="Z165" i="15"/>
  <c r="Y165" i="15"/>
  <c r="AF165" i="15" s="1"/>
  <c r="AE168" i="15"/>
  <c r="AB172" i="15"/>
  <c r="AA172" i="15"/>
  <c r="AD179" i="15"/>
  <c r="AC179" i="15"/>
  <c r="Z183" i="15"/>
  <c r="Y183" i="15"/>
  <c r="P191" i="15"/>
  <c r="W191" i="15" s="1"/>
  <c r="P209" i="15"/>
  <c r="P227" i="15"/>
  <c r="AA54" i="16"/>
  <c r="Z54" i="16"/>
  <c r="AF54" i="16" s="1"/>
  <c r="AE64" i="16"/>
  <c r="AC64" i="16"/>
  <c r="AA64" i="16"/>
  <c r="Z64" i="16"/>
  <c r="AF64" i="16" s="1"/>
  <c r="AD72" i="16"/>
  <c r="AC72" i="16"/>
  <c r="AC75" i="16"/>
  <c r="AA75" i="16"/>
  <c r="AB75" i="16"/>
  <c r="Z75" i="16"/>
  <c r="AF75" i="16" s="1"/>
  <c r="AA86" i="16"/>
  <c r="Y86" i="16"/>
  <c r="AC86" i="16"/>
  <c r="AB86" i="16"/>
  <c r="Y91" i="16"/>
  <c r="AF91" i="16"/>
  <c r="S99" i="16"/>
  <c r="Z99" i="16" s="1"/>
  <c r="V105" i="16"/>
  <c r="U105" i="16"/>
  <c r="Z105" i="16" s="1"/>
  <c r="S121" i="16"/>
  <c r="X127" i="16"/>
  <c r="V127" i="16"/>
  <c r="U127" i="16"/>
  <c r="Z127" i="16" s="1"/>
  <c r="Y127" i="16"/>
  <c r="Y129" i="16"/>
  <c r="U129" i="16"/>
  <c r="T129" i="16"/>
  <c r="Y149" i="16"/>
  <c r="AF149" i="16" s="1"/>
  <c r="AF151" i="16"/>
  <c r="AD151" i="16"/>
  <c r="AC151" i="16"/>
  <c r="AB151" i="16"/>
  <c r="Y156" i="16"/>
  <c r="AF156" i="16" s="1"/>
  <c r="AE174" i="16"/>
  <c r="AD174" i="16"/>
  <c r="AB174" i="16"/>
  <c r="AC174" i="16"/>
  <c r="AA174" i="16"/>
  <c r="AF174" i="16" s="1"/>
  <c r="U212" i="16"/>
  <c r="S212" i="16"/>
  <c r="R212" i="16"/>
  <c r="P212" i="16"/>
  <c r="W212" i="16" s="1"/>
  <c r="V214" i="16"/>
  <c r="T214" i="16"/>
  <c r="U214" i="16"/>
  <c r="R229" i="16"/>
  <c r="Z55" i="17"/>
  <c r="AF55" i="17" s="1"/>
  <c r="Z61" i="17"/>
  <c r="AB66" i="17"/>
  <c r="Z66" i="17"/>
  <c r="Y66" i="17"/>
  <c r="AE66" i="17"/>
  <c r="AB84" i="17"/>
  <c r="Z84" i="17"/>
  <c r="Y84" i="17"/>
  <c r="AD84" i="17"/>
  <c r="AC84" i="17"/>
  <c r="AA84" i="17"/>
  <c r="S102" i="17"/>
  <c r="S104" i="17"/>
  <c r="Z104" i="17"/>
  <c r="W104" i="17"/>
  <c r="V104" i="17"/>
  <c r="U104" i="17"/>
  <c r="Y108" i="17"/>
  <c r="X108" i="17"/>
  <c r="V108" i="17"/>
  <c r="T108" i="17"/>
  <c r="T110" i="17"/>
  <c r="Y147" i="17"/>
  <c r="AB157" i="17"/>
  <c r="Z157" i="17"/>
  <c r="Y157" i="17"/>
  <c r="AF157" i="17" s="1"/>
  <c r="AC157" i="17"/>
  <c r="AD170" i="17"/>
  <c r="AB170" i="17"/>
  <c r="AA170" i="17"/>
  <c r="Y170" i="17"/>
  <c r="AF170" i="17" s="1"/>
  <c r="Z170" i="17"/>
  <c r="AD182" i="17"/>
  <c r="AB182" i="17"/>
  <c r="AA182" i="17"/>
  <c r="Y182" i="17"/>
  <c r="AF182" i="17"/>
  <c r="AE182" i="17"/>
  <c r="AC182" i="17"/>
  <c r="P199" i="17"/>
  <c r="W199" i="17" s="1"/>
  <c r="V219" i="17"/>
  <c r="AF69" i="18"/>
  <c r="AA69" i="18"/>
  <c r="AE69" i="18"/>
  <c r="AD69" i="18"/>
  <c r="Y69" i="18"/>
  <c r="AC69" i="18"/>
  <c r="AB69" i="18"/>
  <c r="Y173" i="18"/>
  <c r="AD177" i="18"/>
  <c r="Y177" i="18"/>
  <c r="AF177" i="18"/>
  <c r="AE177" i="18"/>
  <c r="AC177" i="18"/>
  <c r="AB177" i="18"/>
  <c r="AA177" i="18"/>
  <c r="AE60" i="19"/>
  <c r="AC60" i="19"/>
  <c r="Z60" i="19"/>
  <c r="AF60" i="19"/>
  <c r="AD60" i="19"/>
  <c r="AB60" i="19"/>
  <c r="AA60" i="19"/>
  <c r="V104" i="19"/>
  <c r="T104" i="19"/>
  <c r="Y104" i="19"/>
  <c r="U104" i="19"/>
  <c r="Z104" i="19"/>
  <c r="X104" i="19"/>
  <c r="W104" i="19"/>
  <c r="P201" i="19"/>
  <c r="AC61" i="16"/>
  <c r="AB61" i="16"/>
  <c r="AA80" i="16"/>
  <c r="Y80" i="16"/>
  <c r="AF80" i="16" s="1"/>
  <c r="AE88" i="16"/>
  <c r="AC88" i="16"/>
  <c r="Z134" i="16"/>
  <c r="X134" i="16"/>
  <c r="W134" i="16"/>
  <c r="U134" i="16"/>
  <c r="AE167" i="16"/>
  <c r="AC167" i="16"/>
  <c r="AB167" i="16"/>
  <c r="Z167" i="16"/>
  <c r="U195" i="16"/>
  <c r="T195" i="16"/>
  <c r="R195" i="16"/>
  <c r="S195" i="16"/>
  <c r="Q195" i="16"/>
  <c r="U207" i="16"/>
  <c r="T207" i="16"/>
  <c r="R207" i="16"/>
  <c r="P207" i="16"/>
  <c r="W207" i="16" s="1"/>
  <c r="S217" i="16"/>
  <c r="Q217" i="16"/>
  <c r="P217" i="16"/>
  <c r="W217" i="16" s="1"/>
  <c r="V217" i="16"/>
  <c r="U217" i="16"/>
  <c r="V220" i="16"/>
  <c r="T220" i="16"/>
  <c r="P220" i="16"/>
  <c r="W220" i="16" s="1"/>
  <c r="AE81" i="17"/>
  <c r="AC81" i="17"/>
  <c r="AD81" i="17"/>
  <c r="AB81" i="17"/>
  <c r="AA81" i="17"/>
  <c r="AF81" i="17" s="1"/>
  <c r="Z127" i="17"/>
  <c r="X127" i="17"/>
  <c r="V127" i="17"/>
  <c r="U127" i="17"/>
  <c r="T127" i="17"/>
  <c r="Y138" i="17"/>
  <c r="X138" i="17"/>
  <c r="V138" i="17"/>
  <c r="Z138" i="17"/>
  <c r="R208" i="17"/>
  <c r="U208" i="17"/>
  <c r="T208" i="17"/>
  <c r="S208" i="17"/>
  <c r="Q208" i="17"/>
  <c r="S212" i="17"/>
  <c r="U212" i="17"/>
  <c r="T212" i="17"/>
  <c r="R212" i="17"/>
  <c r="Q212" i="17"/>
  <c r="Z163" i="18"/>
  <c r="AF163" i="18"/>
  <c r="AE163" i="18"/>
  <c r="AD163" i="18"/>
  <c r="Y163" i="18"/>
  <c r="AA163" i="18"/>
  <c r="AD171" i="18"/>
  <c r="Y171" i="18"/>
  <c r="AF171" i="18"/>
  <c r="AA171" i="18"/>
  <c r="AE171" i="18"/>
  <c r="AC171" i="18"/>
  <c r="AD153" i="19"/>
  <c r="Z153" i="19"/>
  <c r="AF153" i="19"/>
  <c r="AE153" i="19"/>
  <c r="AC153" i="19"/>
  <c r="AB153" i="19"/>
  <c r="AA153" i="19"/>
  <c r="P230" i="21"/>
  <c r="W230" i="21"/>
  <c r="U230" i="21"/>
  <c r="Q230" i="21"/>
  <c r="S230" i="21"/>
  <c r="R230" i="21"/>
  <c r="V230" i="21"/>
  <c r="T230" i="21"/>
  <c r="T138" i="14"/>
  <c r="Q193" i="14"/>
  <c r="Q199" i="14"/>
  <c r="Q205" i="14"/>
  <c r="Q211" i="14"/>
  <c r="Q217" i="14"/>
  <c r="W217" i="14" s="1"/>
  <c r="Q223" i="14"/>
  <c r="Q229" i="14"/>
  <c r="Z54" i="15"/>
  <c r="Z60" i="15"/>
  <c r="Z66" i="15"/>
  <c r="AF66" i="15" s="1"/>
  <c r="Z72" i="15"/>
  <c r="Z78" i="15"/>
  <c r="Z84" i="15"/>
  <c r="AF84" i="15" s="1"/>
  <c r="Z90" i="15"/>
  <c r="U100" i="15"/>
  <c r="U106" i="15"/>
  <c r="U112" i="15"/>
  <c r="U118" i="15"/>
  <c r="U124" i="15"/>
  <c r="U130" i="15"/>
  <c r="U136" i="15"/>
  <c r="Z145" i="15"/>
  <c r="AF145" i="15" s="1"/>
  <c r="Z151" i="15"/>
  <c r="AF151" i="15" s="1"/>
  <c r="Z157" i="15"/>
  <c r="Z161" i="15"/>
  <c r="AF161" i="15" s="1"/>
  <c r="AB165" i="15"/>
  <c r="Z168" i="15"/>
  <c r="AF168" i="15" s="1"/>
  <c r="Z172" i="15"/>
  <c r="Z175" i="15"/>
  <c r="AF175" i="15" s="1"/>
  <c r="Z179" i="15"/>
  <c r="AB183" i="15"/>
  <c r="R191" i="15"/>
  <c r="T194" i="15"/>
  <c r="S194" i="15"/>
  <c r="V201" i="15"/>
  <c r="U201" i="15"/>
  <c r="R205" i="15"/>
  <c r="Q205" i="15"/>
  <c r="R209" i="15"/>
  <c r="T212" i="15"/>
  <c r="S212" i="15"/>
  <c r="V219" i="15"/>
  <c r="U219" i="15"/>
  <c r="R223" i="15"/>
  <c r="Q223" i="15"/>
  <c r="W223" i="15" s="1"/>
  <c r="R227" i="15"/>
  <c r="T230" i="15"/>
  <c r="S230" i="15"/>
  <c r="AB54" i="16"/>
  <c r="Z57" i="16"/>
  <c r="AF57" i="16" s="1"/>
  <c r="Y61" i="16"/>
  <c r="AF61" i="16" s="1"/>
  <c r="Y66" i="16"/>
  <c r="AF66" i="16" s="1"/>
  <c r="AC69" i="16"/>
  <c r="AA69" i="16"/>
  <c r="AF69" i="16"/>
  <c r="Y77" i="16"/>
  <c r="Z80" i="16"/>
  <c r="Y88" i="16"/>
  <c r="U99" i="16"/>
  <c r="V102" i="16"/>
  <c r="T102" i="16"/>
  <c r="X102" i="16"/>
  <c r="W102" i="16"/>
  <c r="Z117" i="16"/>
  <c r="Y117" i="16"/>
  <c r="U121" i="16"/>
  <c r="S134" i="16"/>
  <c r="Y146" i="16"/>
  <c r="AF146" i="16"/>
  <c r="AD146" i="16"/>
  <c r="AC146" i="16"/>
  <c r="AD149" i="16"/>
  <c r="AE162" i="16"/>
  <c r="AD162" i="16"/>
  <c r="AB162" i="16"/>
  <c r="Y167" i="16"/>
  <c r="AF167" i="16" s="1"/>
  <c r="AF169" i="16"/>
  <c r="AD169" i="16"/>
  <c r="AC169" i="16"/>
  <c r="AB169" i="16"/>
  <c r="P195" i="16"/>
  <c r="W195" i="16" s="1"/>
  <c r="Q207" i="16"/>
  <c r="R217" i="16"/>
  <c r="Q220" i="16"/>
  <c r="S223" i="16"/>
  <c r="Q223" i="16"/>
  <c r="P223" i="16"/>
  <c r="V229" i="16"/>
  <c r="AE61" i="17"/>
  <c r="AE69" i="17"/>
  <c r="AC69" i="17"/>
  <c r="Z69" i="17"/>
  <c r="Y81" i="17"/>
  <c r="U102" i="17"/>
  <c r="V110" i="17"/>
  <c r="S127" i="17"/>
  <c r="Z133" i="17"/>
  <c r="X133" i="17"/>
  <c r="Y133" i="17"/>
  <c r="S138" i="17"/>
  <c r="AB145" i="17"/>
  <c r="AF145" i="17" s="1"/>
  <c r="Z145" i="17"/>
  <c r="Y145" i="17"/>
  <c r="AE145" i="17"/>
  <c r="AD145" i="17"/>
  <c r="AE148" i="17"/>
  <c r="AC148" i="17"/>
  <c r="Y148" i="17"/>
  <c r="AF148" i="17" s="1"/>
  <c r="AE160" i="17"/>
  <c r="AC160" i="17"/>
  <c r="AB160" i="17"/>
  <c r="AA160" i="17"/>
  <c r="Z160" i="17"/>
  <c r="AF160" i="17" s="1"/>
  <c r="V192" i="17"/>
  <c r="T192" i="17"/>
  <c r="S192" i="17"/>
  <c r="Q192" i="17"/>
  <c r="P208" i="17"/>
  <c r="W208" i="17" s="1"/>
  <c r="P212" i="17"/>
  <c r="W212" i="17" s="1"/>
  <c r="W220" i="17"/>
  <c r="R220" i="17"/>
  <c r="V220" i="17"/>
  <c r="U220" i="17"/>
  <c r="T220" i="17"/>
  <c r="S220" i="17"/>
  <c r="Q220" i="17"/>
  <c r="S230" i="17"/>
  <c r="W230" i="17"/>
  <c r="U230" i="17"/>
  <c r="T230" i="17"/>
  <c r="R230" i="17"/>
  <c r="Q230" i="17"/>
  <c r="P230" i="17"/>
  <c r="AB55" i="18"/>
  <c r="AF55" i="18"/>
  <c r="C5" i="18" s="1"/>
  <c r="AE55" i="18"/>
  <c r="AD55" i="18"/>
  <c r="AC55" i="18"/>
  <c r="AF57" i="18"/>
  <c r="AA57" i="18"/>
  <c r="AE57" i="18"/>
  <c r="AC57" i="18"/>
  <c r="AB57" i="18"/>
  <c r="E5" i="18" s="1"/>
  <c r="Z57" i="18"/>
  <c r="Y57" i="18"/>
  <c r="AB61" i="18"/>
  <c r="AF61" i="18"/>
  <c r="AD61" i="18"/>
  <c r="AC61" i="18"/>
  <c r="AA61" i="18"/>
  <c r="Z61" i="18"/>
  <c r="AE61" i="18"/>
  <c r="AB163" i="18"/>
  <c r="Z171" i="18"/>
  <c r="Y153" i="19"/>
  <c r="AE181" i="19"/>
  <c r="AD181" i="19"/>
  <c r="AC181" i="19"/>
  <c r="Z181" i="19"/>
  <c r="AF181" i="19"/>
  <c r="AB181" i="19"/>
  <c r="AA181" i="19"/>
  <c r="Y181" i="19"/>
  <c r="W229" i="19"/>
  <c r="T229" i="19"/>
  <c r="V229" i="19"/>
  <c r="R229" i="19"/>
  <c r="P229" i="19"/>
  <c r="U229" i="19"/>
  <c r="S229" i="19"/>
  <c r="Q229" i="19"/>
  <c r="Z111" i="20"/>
  <c r="Y111" i="20"/>
  <c r="V111" i="20"/>
  <c r="X111" i="20"/>
  <c r="W111" i="20"/>
  <c r="S111" i="20"/>
  <c r="T111" i="20"/>
  <c r="AE68" i="21"/>
  <c r="AD68" i="21"/>
  <c r="AC68" i="21"/>
  <c r="AB68" i="21"/>
  <c r="Z68" i="21"/>
  <c r="Y68" i="21"/>
  <c r="AF68" i="21"/>
  <c r="Z61" i="16"/>
  <c r="Z66" i="16"/>
  <c r="Z77" i="16"/>
  <c r="AB80" i="16"/>
  <c r="Z88" i="16"/>
  <c r="V123" i="16"/>
  <c r="U123" i="16"/>
  <c r="T134" i="16"/>
  <c r="S193" i="16"/>
  <c r="Q193" i="16"/>
  <c r="P193" i="16"/>
  <c r="W193" i="16" s="1"/>
  <c r="V193" i="16"/>
  <c r="U193" i="16"/>
  <c r="S205" i="16"/>
  <c r="Q205" i="16"/>
  <c r="P205" i="16"/>
  <c r="W205" i="16" s="1"/>
  <c r="T205" i="16"/>
  <c r="W225" i="16"/>
  <c r="U225" i="16"/>
  <c r="T225" i="16"/>
  <c r="R225" i="16"/>
  <c r="AD56" i="17"/>
  <c r="AC56" i="17"/>
  <c r="AA56" i="17"/>
  <c r="Z56" i="17"/>
  <c r="AD74" i="17"/>
  <c r="AC74" i="17"/>
  <c r="AA74" i="17"/>
  <c r="AF87" i="17"/>
  <c r="AE87" i="17"/>
  <c r="AC87" i="17"/>
  <c r="AF92" i="17"/>
  <c r="AD92" i="17"/>
  <c r="AC92" i="17"/>
  <c r="AA92" i="17"/>
  <c r="AE92" i="17"/>
  <c r="AB92" i="17"/>
  <c r="Y114" i="17"/>
  <c r="X114" i="17"/>
  <c r="V114" i="17"/>
  <c r="U114" i="17"/>
  <c r="T114" i="17"/>
  <c r="S114" i="17"/>
  <c r="Z114" i="17" s="1"/>
  <c r="Y125" i="17"/>
  <c r="W125" i="17"/>
  <c r="V125" i="17"/>
  <c r="T125" i="17"/>
  <c r="X125" i="17"/>
  <c r="T138" i="17"/>
  <c r="AB151" i="17"/>
  <c r="Z151" i="17"/>
  <c r="Y151" i="17"/>
  <c r="AF151" i="17" s="1"/>
  <c r="AF183" i="17"/>
  <c r="AD183" i="17"/>
  <c r="AC183" i="17"/>
  <c r="AA183" i="17"/>
  <c r="Y183" i="17"/>
  <c r="U194" i="17"/>
  <c r="V194" i="17"/>
  <c r="T194" i="17"/>
  <c r="S194" i="17"/>
  <c r="U200" i="17"/>
  <c r="P200" i="17"/>
  <c r="W226" i="17"/>
  <c r="R226" i="17"/>
  <c r="V226" i="17"/>
  <c r="T226" i="17"/>
  <c r="S226" i="17"/>
  <c r="Q226" i="17"/>
  <c r="P226" i="17"/>
  <c r="U226" i="17"/>
  <c r="Y102" i="18"/>
  <c r="T102" i="18"/>
  <c r="Z102" i="18"/>
  <c r="X102" i="18"/>
  <c r="W102" i="18"/>
  <c r="V102" i="18"/>
  <c r="U102" i="18"/>
  <c r="Y114" i="18"/>
  <c r="T114" i="18"/>
  <c r="Z114" i="18"/>
  <c r="X114" i="18"/>
  <c r="S114" i="18"/>
  <c r="W114" i="18"/>
  <c r="V114" i="18"/>
  <c r="U114" i="18"/>
  <c r="AC163" i="18"/>
  <c r="AB171" i="18"/>
  <c r="Y75" i="19"/>
  <c r="AF75" i="19"/>
  <c r="AB75" i="19"/>
  <c r="AE75" i="19"/>
  <c r="AD75" i="19"/>
  <c r="AC75" i="19"/>
  <c r="AA75" i="19"/>
  <c r="Y81" i="19"/>
  <c r="AF81" i="19"/>
  <c r="AB81" i="19"/>
  <c r="AE81" i="19"/>
  <c r="AD81" i="19"/>
  <c r="AC81" i="19"/>
  <c r="Z81" i="19"/>
  <c r="Z100" i="19"/>
  <c r="X100" i="19"/>
  <c r="U100" i="19"/>
  <c r="Y100" i="19"/>
  <c r="W100" i="19"/>
  <c r="V100" i="19"/>
  <c r="T100" i="19"/>
  <c r="S100" i="19"/>
  <c r="U196" i="19"/>
  <c r="T196" i="19"/>
  <c r="S196" i="19"/>
  <c r="P196" i="19"/>
  <c r="W196" i="19"/>
  <c r="V196" i="19"/>
  <c r="R196" i="19"/>
  <c r="S215" i="19"/>
  <c r="P215" i="19"/>
  <c r="W215" i="19"/>
  <c r="T215" i="19"/>
  <c r="V215" i="19"/>
  <c r="U215" i="19"/>
  <c r="R215" i="19"/>
  <c r="Q215" i="19"/>
  <c r="AF76" i="21"/>
  <c r="AD76" i="21"/>
  <c r="Z76" i="21"/>
  <c r="AA76" i="21"/>
  <c r="Y76" i="21"/>
  <c r="AE76" i="21"/>
  <c r="AC76" i="21"/>
  <c r="AE56" i="16"/>
  <c r="AD56" i="16"/>
  <c r="AA61" i="16"/>
  <c r="AC63" i="16"/>
  <c r="AA63" i="16"/>
  <c r="AA66" i="16"/>
  <c r="AA74" i="16"/>
  <c r="Y74" i="16"/>
  <c r="AA77" i="16"/>
  <c r="AC80" i="16"/>
  <c r="AE82" i="16"/>
  <c r="AC82" i="16"/>
  <c r="AA82" i="16"/>
  <c r="Z82" i="16"/>
  <c r="AA88" i="16"/>
  <c r="AD90" i="16"/>
  <c r="AC90" i="16"/>
  <c r="X110" i="16"/>
  <c r="V114" i="16"/>
  <c r="T114" i="16"/>
  <c r="S123" i="16"/>
  <c r="V134" i="16"/>
  <c r="AD157" i="16"/>
  <c r="Y164" i="16"/>
  <c r="AD164" i="16"/>
  <c r="AC164" i="16"/>
  <c r="AD167" i="16"/>
  <c r="Y182" i="16"/>
  <c r="AF182" i="16"/>
  <c r="AD182" i="16"/>
  <c r="AC182" i="16"/>
  <c r="R193" i="16"/>
  <c r="R205" i="16"/>
  <c r="V207" i="16"/>
  <c r="S220" i="16"/>
  <c r="P225" i="16"/>
  <c r="Y56" i="17"/>
  <c r="Y74" i="17"/>
  <c r="AD79" i="17"/>
  <c r="AB79" i="17"/>
  <c r="AA79" i="17"/>
  <c r="Y79" i="17"/>
  <c r="AE79" i="17"/>
  <c r="AD85" i="17"/>
  <c r="AB85" i="17"/>
  <c r="AA85" i="17"/>
  <c r="Y85" i="17"/>
  <c r="Y87" i="17"/>
  <c r="Y92" i="17"/>
  <c r="W114" i="17"/>
  <c r="S125" i="17"/>
  <c r="Z125" i="17" s="1"/>
  <c r="Y127" i="17"/>
  <c r="U138" i="17"/>
  <c r="AA151" i="17"/>
  <c r="AD153" i="17"/>
  <c r="AC153" i="17"/>
  <c r="AA153" i="17"/>
  <c r="Z183" i="17"/>
  <c r="P194" i="17"/>
  <c r="W194" i="17" s="1"/>
  <c r="Q200" i="17"/>
  <c r="W200" i="17" s="1"/>
  <c r="S102" i="18"/>
  <c r="Z151" i="18"/>
  <c r="AF151" i="18"/>
  <c r="AE151" i="18"/>
  <c r="AD151" i="18"/>
  <c r="AC151" i="18"/>
  <c r="AB151" i="18"/>
  <c r="AA151" i="18"/>
  <c r="S218" i="18"/>
  <c r="W218" i="18"/>
  <c r="V218" i="18"/>
  <c r="U218" i="18"/>
  <c r="T218" i="18"/>
  <c r="R218" i="18"/>
  <c r="Q218" i="18"/>
  <c r="P226" i="18"/>
  <c r="W226" i="18"/>
  <c r="V226" i="18"/>
  <c r="U226" i="18"/>
  <c r="T226" i="18"/>
  <c r="S226" i="18"/>
  <c r="R226" i="18"/>
  <c r="Q226" i="18"/>
  <c r="Z75" i="19"/>
  <c r="AA81" i="19"/>
  <c r="Z137" i="19"/>
  <c r="W137" i="19"/>
  <c r="S137" i="19"/>
  <c r="Y137" i="19"/>
  <c r="X137" i="19"/>
  <c r="V137" i="19"/>
  <c r="T137" i="19"/>
  <c r="AB76" i="20"/>
  <c r="Y76" i="20"/>
  <c r="AF76" i="20"/>
  <c r="AE76" i="20"/>
  <c r="AD76" i="20"/>
  <c r="Z76" i="20"/>
  <c r="AA76" i="20"/>
  <c r="AC173" i="20"/>
  <c r="AB173" i="20"/>
  <c r="Y173" i="20"/>
  <c r="AD173" i="20"/>
  <c r="AA173" i="20"/>
  <c r="Z173" i="20"/>
  <c r="AF173" i="20"/>
  <c r="AE173" i="20"/>
  <c r="AB76" i="21"/>
  <c r="AE161" i="15"/>
  <c r="AE165" i="15"/>
  <c r="AC168" i="15"/>
  <c r="AE172" i="15"/>
  <c r="AE179" i="15"/>
  <c r="AE183" i="15"/>
  <c r="R194" i="15"/>
  <c r="R201" i="15"/>
  <c r="W201" i="15" s="1"/>
  <c r="T205" i="15"/>
  <c r="R208" i="15"/>
  <c r="W208" i="15" s="1"/>
  <c r="R212" i="15"/>
  <c r="R219" i="15"/>
  <c r="W219" i="15" s="1"/>
  <c r="T223" i="15"/>
  <c r="R226" i="15"/>
  <c r="R230" i="15"/>
  <c r="AE54" i="16"/>
  <c r="Y56" i="16"/>
  <c r="AF56" i="16" s="1"/>
  <c r="AC57" i="16"/>
  <c r="AA60" i="16"/>
  <c r="G13" i="16" s="1"/>
  <c r="K13" i="16" s="1"/>
  <c r="Z60" i="16"/>
  <c r="G12" i="16" s="1"/>
  <c r="AD61" i="16"/>
  <c r="Y63" i="16"/>
  <c r="AF63" i="16" s="1"/>
  <c r="AB69" i="16"/>
  <c r="AE71" i="16"/>
  <c r="AA71" i="16"/>
  <c r="Z71" i="16"/>
  <c r="AE72" i="16"/>
  <c r="Z74" i="16"/>
  <c r="AB77" i="16"/>
  <c r="AD80" i="16"/>
  <c r="Y82" i="16"/>
  <c r="AB88" i="16"/>
  <c r="Y90" i="16"/>
  <c r="AD91" i="16"/>
  <c r="X99" i="16"/>
  <c r="Y102" i="16"/>
  <c r="Y105" i="16"/>
  <c r="S110" i="16"/>
  <c r="S114" i="16"/>
  <c r="Z114" i="16" s="1"/>
  <c r="U117" i="16"/>
  <c r="V120" i="16"/>
  <c r="T120" i="16"/>
  <c r="X120" i="16"/>
  <c r="W120" i="16"/>
  <c r="Z120" i="16" s="1"/>
  <c r="Z121" i="16"/>
  <c r="T123" i="16"/>
  <c r="Z123" i="16" s="1"/>
  <c r="X128" i="16"/>
  <c r="W128" i="16"/>
  <c r="Z128" i="16" s="1"/>
  <c r="Y134" i="16"/>
  <c r="AB146" i="16"/>
  <c r="AE155" i="16"/>
  <c r="AC155" i="16"/>
  <c r="AB155" i="16"/>
  <c r="Z155" i="16"/>
  <c r="Y157" i="16"/>
  <c r="AF157" i="16" s="1"/>
  <c r="AA162" i="16"/>
  <c r="AF162" i="16" s="1"/>
  <c r="Z164" i="16"/>
  <c r="AF164" i="16" s="1"/>
  <c r="AA169" i="16"/>
  <c r="AF175" i="16"/>
  <c r="AD175" i="16"/>
  <c r="Y175" i="16"/>
  <c r="Z182" i="16"/>
  <c r="T193" i="16"/>
  <c r="V196" i="16"/>
  <c r="T196" i="16"/>
  <c r="P196" i="16"/>
  <c r="W196" i="16" s="1"/>
  <c r="U205" i="16"/>
  <c r="U218" i="16"/>
  <c r="S218" i="16"/>
  <c r="R218" i="16"/>
  <c r="P218" i="16"/>
  <c r="W218" i="16" s="1"/>
  <c r="Q218" i="16"/>
  <c r="U220" i="16"/>
  <c r="U223" i="16"/>
  <c r="Q225" i="16"/>
  <c r="U230" i="16"/>
  <c r="S230" i="16"/>
  <c r="R230" i="16"/>
  <c r="P230" i="16"/>
  <c r="W230" i="16"/>
  <c r="V230" i="16"/>
  <c r="T230" i="16"/>
  <c r="AB56" i="17"/>
  <c r="AD67" i="17"/>
  <c r="AB67" i="17"/>
  <c r="AA67" i="17"/>
  <c r="Y67" i="17"/>
  <c r="AC67" i="17"/>
  <c r="AB69" i="17"/>
  <c r="Z74" i="17"/>
  <c r="Z79" i="17"/>
  <c r="Z85" i="17"/>
  <c r="Z87" i="17"/>
  <c r="AB90" i="17"/>
  <c r="Z90" i="17"/>
  <c r="Y90" i="17"/>
  <c r="AF90" i="17"/>
  <c r="AE90" i="17"/>
  <c r="Z92" i="17"/>
  <c r="U125" i="17"/>
  <c r="U133" i="17"/>
  <c r="W138" i="17"/>
  <c r="AB148" i="17"/>
  <c r="AC151" i="17"/>
  <c r="Y153" i="17"/>
  <c r="AF153" i="17" s="1"/>
  <c r="AD171" i="17"/>
  <c r="AC171" i="17"/>
  <c r="AA171" i="17"/>
  <c r="AE171" i="17"/>
  <c r="AB171" i="17"/>
  <c r="Z171" i="17"/>
  <c r="AF171" i="17" s="1"/>
  <c r="AB183" i="17"/>
  <c r="U192" i="17"/>
  <c r="Q194" i="17"/>
  <c r="R200" i="17"/>
  <c r="T209" i="17"/>
  <c r="V209" i="17"/>
  <c r="S209" i="17"/>
  <c r="R209" i="17"/>
  <c r="W209" i="17" s="1"/>
  <c r="Q209" i="17"/>
  <c r="T227" i="17"/>
  <c r="W227" i="17"/>
  <c r="V227" i="17"/>
  <c r="U227" i="17"/>
  <c r="AA55" i="18"/>
  <c r="Y151" i="18"/>
  <c r="P218" i="18"/>
  <c r="Z101" i="19"/>
  <c r="W101" i="19"/>
  <c r="S101" i="19"/>
  <c r="U101" i="19"/>
  <c r="Y101" i="19"/>
  <c r="X101" i="19"/>
  <c r="V101" i="19"/>
  <c r="T101" i="19"/>
  <c r="U137" i="19"/>
  <c r="AC76" i="20"/>
  <c r="X100" i="20"/>
  <c r="U100" i="20"/>
  <c r="T100" i="20"/>
  <c r="S100" i="20"/>
  <c r="Y100" i="20"/>
  <c r="W100" i="20"/>
  <c r="Z100" i="20"/>
  <c r="X112" i="20"/>
  <c r="Y112" i="20"/>
  <c r="T112" i="20"/>
  <c r="S112" i="20"/>
  <c r="Z112" i="20"/>
  <c r="W112" i="20"/>
  <c r="V112" i="20"/>
  <c r="U112" i="20"/>
  <c r="U106" i="18"/>
  <c r="Z106" i="18"/>
  <c r="Y106" i="18"/>
  <c r="X106" i="18"/>
  <c r="S106" i="18"/>
  <c r="X110" i="18"/>
  <c r="Z110" i="18"/>
  <c r="Y110" i="18"/>
  <c r="W110" i="18"/>
  <c r="S110" i="18"/>
  <c r="V193" i="18"/>
  <c r="Q193" i="18"/>
  <c r="W193" i="18"/>
  <c r="U193" i="18"/>
  <c r="P193" i="18"/>
  <c r="Y87" i="19"/>
  <c r="AF87" i="19"/>
  <c r="AB87" i="19"/>
  <c r="AE87" i="19"/>
  <c r="AD87" i="19"/>
  <c r="AC87" i="19"/>
  <c r="X111" i="19"/>
  <c r="V111" i="19"/>
  <c r="S111" i="19"/>
  <c r="Z111" i="19"/>
  <c r="Y111" i="19"/>
  <c r="W111" i="19"/>
  <c r="U111" i="19"/>
  <c r="AD159" i="19"/>
  <c r="Z159" i="19"/>
  <c r="Y159" i="19"/>
  <c r="AB159" i="19"/>
  <c r="AC155" i="20"/>
  <c r="AB155" i="20"/>
  <c r="Y155" i="20"/>
  <c r="AF155" i="20"/>
  <c r="AE155" i="20"/>
  <c r="Z155" i="20"/>
  <c r="AD155" i="20"/>
  <c r="AA155" i="20"/>
  <c r="W208" i="20"/>
  <c r="V208" i="20"/>
  <c r="U208" i="20"/>
  <c r="S208" i="20"/>
  <c r="Q208" i="20"/>
  <c r="T208" i="20"/>
  <c r="R213" i="21"/>
  <c r="T213" i="21"/>
  <c r="S213" i="21"/>
  <c r="Q213" i="21"/>
  <c r="P213" i="21"/>
  <c r="W213" i="21"/>
  <c r="V213" i="21"/>
  <c r="U213" i="21"/>
  <c r="AD145" i="16"/>
  <c r="Y158" i="16"/>
  <c r="AD163" i="16"/>
  <c r="Y176" i="16"/>
  <c r="AF181" i="16"/>
  <c r="AD181" i="16"/>
  <c r="S211" i="16"/>
  <c r="Q211" i="16"/>
  <c r="P211" i="16"/>
  <c r="W211" i="16" s="1"/>
  <c r="K14" i="17"/>
  <c r="AD62" i="17"/>
  <c r="AC62" i="17"/>
  <c r="AA62" i="17"/>
  <c r="AF62" i="17" s="1"/>
  <c r="AD73" i="17"/>
  <c r="AB73" i="17"/>
  <c r="AA73" i="17"/>
  <c r="Y73" i="17"/>
  <c r="AE75" i="17"/>
  <c r="AC75" i="17"/>
  <c r="AF75" i="17" s="1"/>
  <c r="AF86" i="17"/>
  <c r="AD86" i="17"/>
  <c r="AC86" i="17"/>
  <c r="AA86" i="17"/>
  <c r="AB163" i="17"/>
  <c r="Z163" i="17"/>
  <c r="Y163" i="17"/>
  <c r="AF163" i="17" s="1"/>
  <c r="P201" i="17"/>
  <c r="W201" i="17" s="1"/>
  <c r="AF87" i="18"/>
  <c r="AA87" i="18"/>
  <c r="AE87" i="18"/>
  <c r="AD87" i="18"/>
  <c r="Y87" i="18"/>
  <c r="Y132" i="18"/>
  <c r="T132" i="18"/>
  <c r="Z132" i="18"/>
  <c r="X132" i="18"/>
  <c r="W132" i="18"/>
  <c r="V132" i="18"/>
  <c r="U132" i="18"/>
  <c r="AB152" i="18"/>
  <c r="AF152" i="18"/>
  <c r="AE152" i="18"/>
  <c r="AD152" i="18"/>
  <c r="Y152" i="18"/>
  <c r="AF166" i="18"/>
  <c r="AA166" i="18"/>
  <c r="AE166" i="18"/>
  <c r="AD166" i="18"/>
  <c r="AC166" i="18"/>
  <c r="AB166" i="18"/>
  <c r="R215" i="18"/>
  <c r="W215" i="18"/>
  <c r="V215" i="18"/>
  <c r="U215" i="18"/>
  <c r="P215" i="18"/>
  <c r="U219" i="18"/>
  <c r="W219" i="18"/>
  <c r="V219" i="18"/>
  <c r="T219" i="18"/>
  <c r="P219" i="18"/>
  <c r="K13" i="19"/>
  <c r="AE72" i="19"/>
  <c r="AC72" i="19"/>
  <c r="Z72" i="19"/>
  <c r="AF72" i="19"/>
  <c r="AD72" i="19"/>
  <c r="AB72" i="19"/>
  <c r="V128" i="19"/>
  <c r="T128" i="19"/>
  <c r="Y128" i="19"/>
  <c r="U128" i="19"/>
  <c r="AF159" i="19"/>
  <c r="AE163" i="19"/>
  <c r="AD163" i="19"/>
  <c r="AC163" i="19"/>
  <c r="Z163" i="19"/>
  <c r="AF163" i="19"/>
  <c r="AB163" i="19"/>
  <c r="AA163" i="19"/>
  <c r="Y163" i="19"/>
  <c r="U201" i="20"/>
  <c r="T201" i="20"/>
  <c r="Q201" i="20"/>
  <c r="V201" i="20"/>
  <c r="S201" i="20"/>
  <c r="R201" i="20"/>
  <c r="W201" i="20"/>
  <c r="V124" i="21"/>
  <c r="U124" i="21"/>
  <c r="T124" i="21"/>
  <c r="S124" i="21"/>
  <c r="Y124" i="21"/>
  <c r="Z124" i="21"/>
  <c r="X124" i="21"/>
  <c r="Z117" i="24"/>
  <c r="X117" i="24"/>
  <c r="W117" i="24"/>
  <c r="Y117" i="24"/>
  <c r="V117" i="24"/>
  <c r="U117" i="24"/>
  <c r="T117" i="24"/>
  <c r="S117" i="24"/>
  <c r="W206" i="25"/>
  <c r="U206" i="25"/>
  <c r="V206" i="25"/>
  <c r="T206" i="25"/>
  <c r="Q206" i="25"/>
  <c r="S206" i="25"/>
  <c r="R206" i="25"/>
  <c r="P206" i="25"/>
  <c r="Z104" i="16"/>
  <c r="X104" i="16"/>
  <c r="V108" i="16"/>
  <c r="T108" i="16"/>
  <c r="Z108" i="16" s="1"/>
  <c r="X115" i="16"/>
  <c r="V115" i="16"/>
  <c r="Z115" i="16" s="1"/>
  <c r="Z122" i="16"/>
  <c r="X122" i="16"/>
  <c r="V126" i="16"/>
  <c r="T126" i="16"/>
  <c r="S126" i="16"/>
  <c r="Z126" i="16" s="1"/>
  <c r="V132" i="16"/>
  <c r="T132" i="16"/>
  <c r="S132" i="16"/>
  <c r="Y145" i="16"/>
  <c r="AE150" i="16"/>
  <c r="AD150" i="16"/>
  <c r="AB150" i="16"/>
  <c r="AF150" i="16" s="1"/>
  <c r="Z158" i="16"/>
  <c r="AF158" i="16" s="1"/>
  <c r="Y163" i="16"/>
  <c r="AF163" i="16" s="1"/>
  <c r="AE168" i="16"/>
  <c r="AD168" i="16"/>
  <c r="AB168" i="16"/>
  <c r="AF168" i="16" s="1"/>
  <c r="Z176" i="16"/>
  <c r="AF176" i="16" s="1"/>
  <c r="Y181" i="16"/>
  <c r="U200" i="16"/>
  <c r="S200" i="16"/>
  <c r="R200" i="16"/>
  <c r="P200" i="16"/>
  <c r="W200" i="16" s="1"/>
  <c r="V202" i="16"/>
  <c r="T202" i="16"/>
  <c r="W202" i="16" s="1"/>
  <c r="R211" i="16"/>
  <c r="U213" i="16"/>
  <c r="T213" i="16"/>
  <c r="R213" i="16"/>
  <c r="W213" i="16" s="1"/>
  <c r="U224" i="16"/>
  <c r="S224" i="16"/>
  <c r="R224" i="16"/>
  <c r="P224" i="16"/>
  <c r="W226" i="16"/>
  <c r="V226" i="16"/>
  <c r="T226" i="16"/>
  <c r="K12" i="17"/>
  <c r="Y62" i="17"/>
  <c r="Z73" i="17"/>
  <c r="Y75" i="17"/>
  <c r="Y86" i="17"/>
  <c r="Y101" i="17"/>
  <c r="W101" i="17"/>
  <c r="V101" i="17"/>
  <c r="T101" i="17"/>
  <c r="Z101" i="17" s="1"/>
  <c r="Y119" i="17"/>
  <c r="W119" i="17"/>
  <c r="V119" i="17"/>
  <c r="T119" i="17"/>
  <c r="Z119" i="17" s="1"/>
  <c r="Y137" i="17"/>
  <c r="W137" i="17"/>
  <c r="V137" i="17"/>
  <c r="T137" i="17"/>
  <c r="AD152" i="17"/>
  <c r="AB152" i="17"/>
  <c r="AA152" i="17"/>
  <c r="Y152" i="17"/>
  <c r="AF154" i="17"/>
  <c r="AE154" i="17"/>
  <c r="AC154" i="17"/>
  <c r="AA163" i="17"/>
  <c r="AD165" i="17"/>
  <c r="AC165" i="17"/>
  <c r="AA165" i="17"/>
  <c r="AF165" i="17" s="1"/>
  <c r="AD176" i="17"/>
  <c r="AB176" i="17"/>
  <c r="AA176" i="17"/>
  <c r="Y176" i="17"/>
  <c r="AF178" i="17"/>
  <c r="AE178" i="17"/>
  <c r="AC178" i="17"/>
  <c r="V193" i="17"/>
  <c r="U193" i="17"/>
  <c r="S193" i="17"/>
  <c r="Q201" i="17"/>
  <c r="U213" i="17"/>
  <c r="P213" i="17"/>
  <c r="W213" i="17" s="1"/>
  <c r="V213" i="17"/>
  <c r="AC58" i="18"/>
  <c r="AF58" i="18"/>
  <c r="AE58" i="18"/>
  <c r="AD58" i="18"/>
  <c r="AB73" i="18"/>
  <c r="AF73" i="18"/>
  <c r="AE73" i="18"/>
  <c r="Z73" i="18"/>
  <c r="Z87" i="18"/>
  <c r="S129" i="18"/>
  <c r="Z129" i="18"/>
  <c r="Y129" i="18"/>
  <c r="X129" i="18"/>
  <c r="T129" i="18"/>
  <c r="S132" i="18"/>
  <c r="Z152" i="18"/>
  <c r="AB158" i="18"/>
  <c r="AE158" i="18"/>
  <c r="AD158" i="18"/>
  <c r="AC158" i="18"/>
  <c r="AA158" i="18"/>
  <c r="Z158" i="18"/>
  <c r="Y158" i="18"/>
  <c r="Y166" i="18"/>
  <c r="AF178" i="18"/>
  <c r="AA178" i="18"/>
  <c r="AE178" i="18"/>
  <c r="Z178" i="18"/>
  <c r="Q215" i="18"/>
  <c r="Q219" i="18"/>
  <c r="K11" i="19"/>
  <c r="Y72" i="19"/>
  <c r="AE78" i="19"/>
  <c r="AC78" i="19"/>
  <c r="Z78" i="19"/>
  <c r="AF78" i="19"/>
  <c r="AD78" i="19"/>
  <c r="AB78" i="19"/>
  <c r="Z125" i="19"/>
  <c r="W125" i="19"/>
  <c r="S125" i="19"/>
  <c r="U125" i="19"/>
  <c r="S128" i="19"/>
  <c r="AE169" i="19"/>
  <c r="AD169" i="19"/>
  <c r="AC169" i="19"/>
  <c r="Z169" i="19"/>
  <c r="Y169" i="19"/>
  <c r="W203" i="19"/>
  <c r="V203" i="19"/>
  <c r="U203" i="19"/>
  <c r="R203" i="19"/>
  <c r="P203" i="19"/>
  <c r="U210" i="19"/>
  <c r="R210" i="19"/>
  <c r="T210" i="19"/>
  <c r="S210" i="19"/>
  <c r="Q210" i="19"/>
  <c r="W210" i="19"/>
  <c r="U222" i="19"/>
  <c r="R222" i="19"/>
  <c r="W222" i="19"/>
  <c r="S222" i="19"/>
  <c r="P222" i="19"/>
  <c r="AF163" i="20"/>
  <c r="AC163" i="20"/>
  <c r="AA163" i="20"/>
  <c r="Z163" i="20"/>
  <c r="Y163" i="20"/>
  <c r="AE163" i="20"/>
  <c r="AD163" i="20"/>
  <c r="AC167" i="20"/>
  <c r="AB167" i="20"/>
  <c r="Y167" i="20"/>
  <c r="AE167" i="20"/>
  <c r="AD167" i="20"/>
  <c r="AA167" i="20"/>
  <c r="AF167" i="20"/>
  <c r="Z167" i="20"/>
  <c r="P201" i="20"/>
  <c r="W124" i="21"/>
  <c r="Y137" i="23"/>
  <c r="V137" i="23"/>
  <c r="Z137" i="23"/>
  <c r="W137" i="23"/>
  <c r="U137" i="23"/>
  <c r="T137" i="23"/>
  <c r="X137" i="23"/>
  <c r="S137" i="23"/>
  <c r="AD90" i="24"/>
  <c r="AE90" i="24"/>
  <c r="AC90" i="24"/>
  <c r="AB90" i="24"/>
  <c r="AA90" i="24"/>
  <c r="Z90" i="24"/>
  <c r="Y90" i="24"/>
  <c r="AF90" i="24"/>
  <c r="AB54" i="17"/>
  <c r="Z54" i="17"/>
  <c r="Y54" i="17"/>
  <c r="AB78" i="17"/>
  <c r="Z78" i="17"/>
  <c r="Y78" i="17"/>
  <c r="X103" i="17"/>
  <c r="S116" i="17"/>
  <c r="Z116" i="17" s="1"/>
  <c r="Z121" i="17"/>
  <c r="X121" i="17"/>
  <c r="S134" i="17"/>
  <c r="Z134" i="17"/>
  <c r="T215" i="17"/>
  <c r="V215" i="17"/>
  <c r="S215" i="17"/>
  <c r="R215" i="17"/>
  <c r="Q215" i="17"/>
  <c r="P215" i="17"/>
  <c r="W215" i="17" s="1"/>
  <c r="S224" i="17"/>
  <c r="W224" i="17"/>
  <c r="V224" i="17"/>
  <c r="AD62" i="18"/>
  <c r="Y62" i="18"/>
  <c r="AF62" i="18"/>
  <c r="AE62" i="18"/>
  <c r="Z62" i="18"/>
  <c r="AC64" i="18"/>
  <c r="AE64" i="18"/>
  <c r="AB64" i="18"/>
  <c r="AA64" i="18"/>
  <c r="Z64" i="18"/>
  <c r="Y64" i="18"/>
  <c r="AB79" i="18"/>
  <c r="AF79" i="18"/>
  <c r="AE79" i="18"/>
  <c r="AD79" i="18"/>
  <c r="AC79" i="18"/>
  <c r="AA79" i="18"/>
  <c r="Z79" i="18"/>
  <c r="AB91" i="18"/>
  <c r="AF91" i="18"/>
  <c r="AE91" i="18"/>
  <c r="Z91" i="18"/>
  <c r="V199" i="18"/>
  <c r="Q199" i="18"/>
  <c r="W199" i="18"/>
  <c r="U199" i="18"/>
  <c r="T199" i="18"/>
  <c r="S199" i="18"/>
  <c r="R199" i="18"/>
  <c r="P199" i="18"/>
  <c r="V211" i="18"/>
  <c r="Q211" i="18"/>
  <c r="W211" i="18"/>
  <c r="U211" i="18"/>
  <c r="T211" i="18"/>
  <c r="S211" i="18"/>
  <c r="AE84" i="19"/>
  <c r="AC84" i="19"/>
  <c r="Z84" i="19"/>
  <c r="AF84" i="19"/>
  <c r="AD84" i="19"/>
  <c r="AB84" i="19"/>
  <c r="V122" i="19"/>
  <c r="T122" i="19"/>
  <c r="Y122" i="19"/>
  <c r="Z122" i="19"/>
  <c r="X122" i="19"/>
  <c r="W122" i="19"/>
  <c r="V224" i="19"/>
  <c r="S224" i="19"/>
  <c r="R224" i="19"/>
  <c r="Q224" i="19"/>
  <c r="W224" i="19"/>
  <c r="U224" i="19"/>
  <c r="AD65" i="20"/>
  <c r="AA65" i="20"/>
  <c r="AF65" i="20"/>
  <c r="AE65" i="20"/>
  <c r="AC65" i="20"/>
  <c r="Y65" i="20"/>
  <c r="AB65" i="20"/>
  <c r="T120" i="20"/>
  <c r="S120" i="20"/>
  <c r="W120" i="20"/>
  <c r="V120" i="20"/>
  <c r="U120" i="20"/>
  <c r="Z120" i="20"/>
  <c r="Y120" i="20"/>
  <c r="X124" i="20"/>
  <c r="Z124" i="20"/>
  <c r="Y124" i="20"/>
  <c r="W124" i="20"/>
  <c r="T124" i="20"/>
  <c r="V124" i="20"/>
  <c r="U124" i="20"/>
  <c r="AE180" i="20"/>
  <c r="AD180" i="20"/>
  <c r="AA180" i="20"/>
  <c r="AF180" i="20"/>
  <c r="Z180" i="20"/>
  <c r="Y180" i="20"/>
  <c r="P218" i="21"/>
  <c r="W218" i="21"/>
  <c r="V218" i="21"/>
  <c r="U218" i="21"/>
  <c r="S218" i="21"/>
  <c r="T218" i="21"/>
  <c r="R218" i="21"/>
  <c r="Q218" i="21"/>
  <c r="AF75" i="18"/>
  <c r="AA75" i="18"/>
  <c r="AE75" i="18"/>
  <c r="AC75" i="18"/>
  <c r="AB75" i="18"/>
  <c r="Z75" i="18"/>
  <c r="Y75" i="18"/>
  <c r="V133" i="18"/>
  <c r="Z133" i="18"/>
  <c r="Y133" i="18"/>
  <c r="T133" i="18"/>
  <c r="P208" i="18"/>
  <c r="W208" i="18"/>
  <c r="V208" i="18"/>
  <c r="R208" i="18"/>
  <c r="V223" i="18"/>
  <c r="Q223" i="18"/>
  <c r="W223" i="18"/>
  <c r="U223" i="18"/>
  <c r="P223" i="18"/>
  <c r="Y57" i="19"/>
  <c r="AF57" i="19"/>
  <c r="AB57" i="19"/>
  <c r="AE57" i="19"/>
  <c r="AD57" i="19"/>
  <c r="AC57" i="19"/>
  <c r="AE90" i="19"/>
  <c r="AC90" i="19"/>
  <c r="Z90" i="19"/>
  <c r="AF90" i="19"/>
  <c r="AD90" i="19"/>
  <c r="AB90" i="19"/>
  <c r="AD171" i="19"/>
  <c r="Z171" i="19"/>
  <c r="Y171" i="19"/>
  <c r="AF171" i="19"/>
  <c r="AE171" i="19"/>
  <c r="AC171" i="19"/>
  <c r="AB171" i="19"/>
  <c r="W191" i="19"/>
  <c r="V191" i="19"/>
  <c r="U191" i="19"/>
  <c r="R191" i="19"/>
  <c r="T191" i="19"/>
  <c r="S191" i="19"/>
  <c r="Q191" i="19"/>
  <c r="P191" i="19"/>
  <c r="AE61" i="20"/>
  <c r="AD61" i="20"/>
  <c r="AC61" i="20"/>
  <c r="AB61" i="20"/>
  <c r="Y61" i="20"/>
  <c r="Z61" i="20"/>
  <c r="X125" i="21"/>
  <c r="W125" i="21"/>
  <c r="V125" i="21"/>
  <c r="U125" i="21"/>
  <c r="S125" i="21"/>
  <c r="Z125" i="21"/>
  <c r="Y125" i="21"/>
  <c r="T125" i="21"/>
  <c r="V211" i="22"/>
  <c r="S211" i="22"/>
  <c r="W211" i="22"/>
  <c r="U211" i="22"/>
  <c r="R211" i="22"/>
  <c r="Q211" i="22"/>
  <c r="T211" i="22"/>
  <c r="P211" i="22"/>
  <c r="Z145" i="18"/>
  <c r="AF145" i="18"/>
  <c r="AE145" i="18"/>
  <c r="AA145" i="18"/>
  <c r="P196" i="18"/>
  <c r="W196" i="18"/>
  <c r="V196" i="18"/>
  <c r="U196" i="18"/>
  <c r="T196" i="18"/>
  <c r="S196" i="18"/>
  <c r="S200" i="18"/>
  <c r="W200" i="18"/>
  <c r="V200" i="18"/>
  <c r="U200" i="18"/>
  <c r="P200" i="18"/>
  <c r="Y63" i="19"/>
  <c r="AF63" i="19"/>
  <c r="AB63" i="19"/>
  <c r="AE63" i="19"/>
  <c r="AD63" i="19"/>
  <c r="AC63" i="19"/>
  <c r="AE151" i="19"/>
  <c r="AD151" i="19"/>
  <c r="AC151" i="19"/>
  <c r="Z151" i="19"/>
  <c r="AA151" i="19"/>
  <c r="U225" i="20"/>
  <c r="T225" i="20"/>
  <c r="S225" i="20"/>
  <c r="Q225" i="20"/>
  <c r="W225" i="20"/>
  <c r="V225" i="20"/>
  <c r="R225" i="20"/>
  <c r="P225" i="20"/>
  <c r="AE56" i="21"/>
  <c r="K5" i="21" s="1"/>
  <c r="AD56" i="21"/>
  <c r="I5" i="21" s="1"/>
  <c r="AC56" i="21"/>
  <c r="AB56" i="21"/>
  <c r="Z56" i="21"/>
  <c r="AA56" i="21"/>
  <c r="Y56" i="21"/>
  <c r="Z132" i="21"/>
  <c r="Y132" i="21"/>
  <c r="X132" i="21"/>
  <c r="W132" i="21"/>
  <c r="U132" i="21"/>
  <c r="S132" i="21"/>
  <c r="V132" i="21"/>
  <c r="T132" i="21"/>
  <c r="AE180" i="16"/>
  <c r="AD180" i="16"/>
  <c r="AB180" i="16"/>
  <c r="AD54" i="17"/>
  <c r="AB72" i="17"/>
  <c r="Z72" i="17"/>
  <c r="Y72" i="17"/>
  <c r="AF72" i="17" s="1"/>
  <c r="AD78" i="17"/>
  <c r="U103" i="17"/>
  <c r="Z103" i="17" s="1"/>
  <c r="Y113" i="17"/>
  <c r="W113" i="17"/>
  <c r="V113" i="17"/>
  <c r="T113" i="17"/>
  <c r="V116" i="17"/>
  <c r="U121" i="17"/>
  <c r="Y131" i="17"/>
  <c r="W131" i="17"/>
  <c r="V131" i="17"/>
  <c r="T131" i="17"/>
  <c r="V134" i="17"/>
  <c r="R224" i="17"/>
  <c r="AC62" i="18"/>
  <c r="AD80" i="18"/>
  <c r="Y80" i="18"/>
  <c r="AF80" i="18"/>
  <c r="AE80" i="18"/>
  <c r="Z80" i="18"/>
  <c r="AC91" i="18"/>
  <c r="V109" i="18"/>
  <c r="Z109" i="18"/>
  <c r="Y109" i="18"/>
  <c r="X109" i="18"/>
  <c r="W109" i="18"/>
  <c r="U109" i="18"/>
  <c r="T109" i="18"/>
  <c r="U133" i="18"/>
  <c r="Y145" i="18"/>
  <c r="AB170" i="18"/>
  <c r="AF170" i="18"/>
  <c r="AE170" i="18"/>
  <c r="AD170" i="18"/>
  <c r="AC170" i="18"/>
  <c r="AA170" i="18"/>
  <c r="Q196" i="18"/>
  <c r="Q200" i="18"/>
  <c r="S208" i="18"/>
  <c r="S223" i="18"/>
  <c r="AA57" i="19"/>
  <c r="Z63" i="19"/>
  <c r="Y69" i="19"/>
  <c r="AF69" i="19"/>
  <c r="AB69" i="19"/>
  <c r="AE69" i="19"/>
  <c r="AD69" i="19"/>
  <c r="AC69" i="19"/>
  <c r="AA90" i="19"/>
  <c r="Z119" i="19"/>
  <c r="W119" i="19"/>
  <c r="S119" i="19"/>
  <c r="Y119" i="19"/>
  <c r="X119" i="19"/>
  <c r="V119" i="19"/>
  <c r="AD147" i="19"/>
  <c r="Z147" i="19"/>
  <c r="AF147" i="19"/>
  <c r="AE147" i="19"/>
  <c r="AC147" i="19"/>
  <c r="AB147" i="19"/>
  <c r="AA147" i="19"/>
  <c r="Y147" i="19"/>
  <c r="Y151" i="19"/>
  <c r="AD177" i="19"/>
  <c r="Z177" i="19"/>
  <c r="Y177" i="19"/>
  <c r="AB177" i="19"/>
  <c r="AF61" i="20"/>
  <c r="Z63" i="20"/>
  <c r="AE63" i="20"/>
  <c r="AA63" i="20"/>
  <c r="Y63" i="20"/>
  <c r="AF63" i="20"/>
  <c r="AD63" i="20"/>
  <c r="AC63" i="20"/>
  <c r="AA172" i="20"/>
  <c r="Z172" i="20"/>
  <c r="AF172" i="20"/>
  <c r="AB172" i="20"/>
  <c r="Y172" i="20"/>
  <c r="AD172" i="20"/>
  <c r="AF56" i="21"/>
  <c r="V112" i="21"/>
  <c r="U112" i="21"/>
  <c r="T112" i="21"/>
  <c r="S112" i="21"/>
  <c r="Y112" i="21"/>
  <c r="Z112" i="21"/>
  <c r="X112" i="21"/>
  <c r="X119" i="21"/>
  <c r="W119" i="21"/>
  <c r="V119" i="21"/>
  <c r="U119" i="21"/>
  <c r="S119" i="21"/>
  <c r="Y119" i="21"/>
  <c r="Z119" i="21"/>
  <c r="AF148" i="18"/>
  <c r="AA148" i="18"/>
  <c r="AB149" i="18"/>
  <c r="AD159" i="18"/>
  <c r="Y159" i="18"/>
  <c r="AC164" i="18"/>
  <c r="AC175" i="18"/>
  <c r="S201" i="18"/>
  <c r="AE54" i="19"/>
  <c r="Z54" i="19"/>
  <c r="Z106" i="19"/>
  <c r="X106" i="19"/>
  <c r="U106" i="19"/>
  <c r="Z130" i="19"/>
  <c r="X130" i="19"/>
  <c r="U130" i="19"/>
  <c r="AE145" i="19"/>
  <c r="AD145" i="19"/>
  <c r="AC145" i="19"/>
  <c r="Z145" i="19"/>
  <c r="AA161" i="19"/>
  <c r="Z161" i="19"/>
  <c r="Y161" i="19"/>
  <c r="AD161" i="19"/>
  <c r="AC161" i="19"/>
  <c r="AA179" i="19"/>
  <c r="Z179" i="19"/>
  <c r="Y179" i="19"/>
  <c r="AD179" i="19"/>
  <c r="AC179" i="19"/>
  <c r="X116" i="20"/>
  <c r="W116" i="20"/>
  <c r="T116" i="20"/>
  <c r="U116" i="20"/>
  <c r="S116" i="20"/>
  <c r="AF157" i="20"/>
  <c r="AC157" i="20"/>
  <c r="AB157" i="20"/>
  <c r="AA157" i="20"/>
  <c r="Z157" i="20"/>
  <c r="AE157" i="20"/>
  <c r="AE182" i="20"/>
  <c r="AB182" i="20"/>
  <c r="AA182" i="20"/>
  <c r="Z182" i="20"/>
  <c r="AF182" i="20"/>
  <c r="AD182" i="20"/>
  <c r="U195" i="20"/>
  <c r="T195" i="20"/>
  <c r="Q195" i="20"/>
  <c r="W195" i="20"/>
  <c r="V195" i="20"/>
  <c r="P195" i="20"/>
  <c r="X131" i="21"/>
  <c r="W131" i="21"/>
  <c r="V131" i="21"/>
  <c r="U131" i="21"/>
  <c r="S131" i="21"/>
  <c r="Y131" i="21"/>
  <c r="T131" i="21"/>
  <c r="AB162" i="21"/>
  <c r="AE162" i="21"/>
  <c r="AD162" i="21"/>
  <c r="AC162" i="21"/>
  <c r="AA162" i="21"/>
  <c r="Y162" i="21"/>
  <c r="AB174" i="21"/>
  <c r="AF174" i="21"/>
  <c r="AD174" i="21"/>
  <c r="Y174" i="21"/>
  <c r="AE174" i="21"/>
  <c r="Z174" i="21"/>
  <c r="S204" i="21"/>
  <c r="V204" i="21"/>
  <c r="Q204" i="21"/>
  <c r="T204" i="21"/>
  <c r="AB77" i="22"/>
  <c r="AC77" i="22"/>
  <c r="AA77" i="22"/>
  <c r="Z77" i="22"/>
  <c r="Y77" i="22"/>
  <c r="AF77" i="22"/>
  <c r="Y170" i="22"/>
  <c r="AF170" i="22"/>
  <c r="AB170" i="22"/>
  <c r="AE170" i="22"/>
  <c r="AD170" i="22"/>
  <c r="AC170" i="22"/>
  <c r="Z170" i="22"/>
  <c r="AA170" i="22"/>
  <c r="Y176" i="22"/>
  <c r="Z176" i="22"/>
  <c r="AC176" i="22"/>
  <c r="AF176" i="22"/>
  <c r="AE176" i="22"/>
  <c r="AD176" i="22"/>
  <c r="AA176" i="22"/>
  <c r="AE148" i="23"/>
  <c r="AD148" i="23"/>
  <c r="AB148" i="23"/>
  <c r="AA148" i="23"/>
  <c r="Z148" i="23"/>
  <c r="Y148" i="23"/>
  <c r="AF148" i="23"/>
  <c r="AC148" i="23"/>
  <c r="Y120" i="18"/>
  <c r="T120" i="18"/>
  <c r="W121" i="18"/>
  <c r="S135" i="18"/>
  <c r="Z135" i="18"/>
  <c r="W136" i="18"/>
  <c r="AD147" i="18"/>
  <c r="Y147" i="18"/>
  <c r="AC148" i="18"/>
  <c r="AF154" i="18"/>
  <c r="AA154" i="18"/>
  <c r="AB155" i="18"/>
  <c r="AC159" i="18"/>
  <c r="AC181" i="18"/>
  <c r="V229" i="18"/>
  <c r="Q229" i="18"/>
  <c r="AC54" i="19"/>
  <c r="W106" i="19"/>
  <c r="Z113" i="19"/>
  <c r="W113" i="19"/>
  <c r="S113" i="19"/>
  <c r="V116" i="19"/>
  <c r="T116" i="19"/>
  <c r="Y116" i="19"/>
  <c r="W130" i="19"/>
  <c r="AF145" i="19"/>
  <c r="AA155" i="19"/>
  <c r="Z155" i="19"/>
  <c r="Y155" i="19"/>
  <c r="AD155" i="19"/>
  <c r="AC155" i="19"/>
  <c r="AA173" i="19"/>
  <c r="Z173" i="19"/>
  <c r="Y173" i="19"/>
  <c r="AD173" i="19"/>
  <c r="AC173" i="19"/>
  <c r="W217" i="19"/>
  <c r="T217" i="19"/>
  <c r="S217" i="19"/>
  <c r="R217" i="19"/>
  <c r="Q217" i="19"/>
  <c r="V217" i="19"/>
  <c r="X104" i="20"/>
  <c r="W104" i="20"/>
  <c r="T104" i="20"/>
  <c r="V104" i="20"/>
  <c r="U104" i="20"/>
  <c r="S104" i="20"/>
  <c r="Z104" i="20"/>
  <c r="T108" i="20"/>
  <c r="S108" i="20"/>
  <c r="Z108" i="20"/>
  <c r="Y108" i="20"/>
  <c r="V108" i="20"/>
  <c r="X136" i="20"/>
  <c r="U136" i="20"/>
  <c r="T136" i="20"/>
  <c r="S136" i="20"/>
  <c r="Y136" i="20"/>
  <c r="W136" i="20"/>
  <c r="AA148" i="20"/>
  <c r="Z148" i="20"/>
  <c r="AC148" i="20"/>
  <c r="AB148" i="20"/>
  <c r="Y148" i="20"/>
  <c r="AF148" i="20"/>
  <c r="AE148" i="20"/>
  <c r="AE158" i="20"/>
  <c r="AF158" i="20"/>
  <c r="AD158" i="20"/>
  <c r="AA158" i="20"/>
  <c r="AE164" i="20"/>
  <c r="AF164" i="20"/>
  <c r="AD164" i="20"/>
  <c r="AC164" i="20"/>
  <c r="Z164" i="20"/>
  <c r="U191" i="20"/>
  <c r="V191" i="20"/>
  <c r="T191" i="20"/>
  <c r="S191" i="20"/>
  <c r="P191" i="20"/>
  <c r="W196" i="20"/>
  <c r="V196" i="20"/>
  <c r="S196" i="20"/>
  <c r="Q196" i="20"/>
  <c r="P196" i="20"/>
  <c r="Q205" i="20"/>
  <c r="P205" i="20"/>
  <c r="W205" i="20"/>
  <c r="T205" i="20"/>
  <c r="X113" i="21"/>
  <c r="W113" i="21"/>
  <c r="V113" i="21"/>
  <c r="U113" i="21"/>
  <c r="S113" i="21"/>
  <c r="Y113" i="21"/>
  <c r="T113" i="21"/>
  <c r="U193" i="21"/>
  <c r="V193" i="21"/>
  <c r="Q193" i="21"/>
  <c r="S193" i="21"/>
  <c r="W204" i="21"/>
  <c r="AD78" i="22"/>
  <c r="AF78" i="22"/>
  <c r="AE78" i="22"/>
  <c r="AC78" i="22"/>
  <c r="AB78" i="22"/>
  <c r="Z78" i="22"/>
  <c r="AA78" i="22"/>
  <c r="AE167" i="22"/>
  <c r="AC167" i="22"/>
  <c r="Z167" i="22"/>
  <c r="AF167" i="22"/>
  <c r="AD167" i="22"/>
  <c r="AB167" i="22"/>
  <c r="Y167" i="22"/>
  <c r="AE67" i="23"/>
  <c r="AD67" i="23"/>
  <c r="AC67" i="23"/>
  <c r="AB67" i="23"/>
  <c r="Z67" i="23"/>
  <c r="AF67" i="23"/>
  <c r="Y67" i="23"/>
  <c r="AD60" i="24"/>
  <c r="AF60" i="24"/>
  <c r="Z60" i="24"/>
  <c r="AC60" i="24"/>
  <c r="AB60" i="24"/>
  <c r="AA60" i="24"/>
  <c r="Y60" i="24"/>
  <c r="AE60" i="24"/>
  <c r="AD76" i="24"/>
  <c r="AC76" i="24"/>
  <c r="Z76" i="24"/>
  <c r="Y76" i="24"/>
  <c r="AF76" i="24"/>
  <c r="AE76" i="24"/>
  <c r="AB76" i="24"/>
  <c r="AA76" i="24"/>
  <c r="AF91" i="26"/>
  <c r="AC91" i="26"/>
  <c r="AE91" i="26"/>
  <c r="AD91" i="26"/>
  <c r="AB91" i="26"/>
  <c r="AA91" i="26"/>
  <c r="Z91" i="26"/>
  <c r="Y91" i="26"/>
  <c r="X121" i="18"/>
  <c r="X136" i="18"/>
  <c r="AD148" i="18"/>
  <c r="AD155" i="18"/>
  <c r="AE159" i="18"/>
  <c r="AD165" i="18"/>
  <c r="Y165" i="18"/>
  <c r="AD181" i="18"/>
  <c r="P202" i="18"/>
  <c r="W202" i="18"/>
  <c r="AD54" i="19"/>
  <c r="I5" i="19" s="1"/>
  <c r="AD56" i="19"/>
  <c r="Z56" i="19"/>
  <c r="AD62" i="19"/>
  <c r="Z62" i="19"/>
  <c r="AD68" i="19"/>
  <c r="Z68" i="19"/>
  <c r="AD74" i="19"/>
  <c r="Z74" i="19"/>
  <c r="AD80" i="19"/>
  <c r="Z80" i="19"/>
  <c r="AD86" i="19"/>
  <c r="Z86" i="19"/>
  <c r="AD92" i="19"/>
  <c r="Z92" i="19"/>
  <c r="X105" i="19"/>
  <c r="V105" i="19"/>
  <c r="S105" i="19"/>
  <c r="Y106" i="19"/>
  <c r="X129" i="19"/>
  <c r="V129" i="19"/>
  <c r="S129" i="19"/>
  <c r="Y130" i="19"/>
  <c r="W211" i="19"/>
  <c r="T211" i="19"/>
  <c r="V211" i="19"/>
  <c r="R211" i="19"/>
  <c r="Z69" i="20"/>
  <c r="AF69" i="20"/>
  <c r="AE69" i="20"/>
  <c r="AD69" i="20"/>
  <c r="AA69" i="20"/>
  <c r="Z117" i="20"/>
  <c r="Y117" i="20"/>
  <c r="V117" i="20"/>
  <c r="W117" i="20"/>
  <c r="U117" i="20"/>
  <c r="T117" i="20"/>
  <c r="W221" i="20"/>
  <c r="U221" i="20"/>
  <c r="R221" i="20"/>
  <c r="Q221" i="20"/>
  <c r="P221" i="20"/>
  <c r="V221" i="20"/>
  <c r="T221" i="20"/>
  <c r="AF57" i="21"/>
  <c r="AE57" i="21"/>
  <c r="AD57" i="21"/>
  <c r="AB57" i="21"/>
  <c r="E5" i="21" s="1"/>
  <c r="AC57" i="21"/>
  <c r="Y57" i="21"/>
  <c r="AF64" i="21"/>
  <c r="AD64" i="21"/>
  <c r="Z64" i="21"/>
  <c r="AB64" i="21"/>
  <c r="AA64" i="21"/>
  <c r="Y64" i="21"/>
  <c r="AE64" i="21"/>
  <c r="Z155" i="21"/>
  <c r="AF155" i="21"/>
  <c r="AE155" i="21"/>
  <c r="AD155" i="21"/>
  <c r="AC155" i="21"/>
  <c r="AA155" i="21"/>
  <c r="AB155" i="21"/>
  <c r="AB180" i="21"/>
  <c r="AE180" i="21"/>
  <c r="AD180" i="21"/>
  <c r="AC180" i="21"/>
  <c r="AA180" i="21"/>
  <c r="Y180" i="21"/>
  <c r="AF180" i="21"/>
  <c r="Z180" i="21"/>
  <c r="S228" i="21"/>
  <c r="T228" i="21"/>
  <c r="R228" i="21"/>
  <c r="Q228" i="21"/>
  <c r="P228" i="21"/>
  <c r="W228" i="21"/>
  <c r="V228" i="21"/>
  <c r="AE173" i="22"/>
  <c r="AC173" i="22"/>
  <c r="Z173" i="22"/>
  <c r="AF173" i="22"/>
  <c r="AD173" i="22"/>
  <c r="AB173" i="22"/>
  <c r="Y173" i="22"/>
  <c r="AA173" i="22"/>
  <c r="AC59" i="23"/>
  <c r="AA59" i="23"/>
  <c r="Z59" i="23"/>
  <c r="AF59" i="23"/>
  <c r="Y59" i="23"/>
  <c r="AD59" i="23"/>
  <c r="AE59" i="23"/>
  <c r="W206" i="23"/>
  <c r="T206" i="23"/>
  <c r="R206" i="23"/>
  <c r="Q206" i="23"/>
  <c r="P206" i="23"/>
  <c r="V206" i="23"/>
  <c r="S206" i="23"/>
  <c r="U206" i="23"/>
  <c r="S103" i="26"/>
  <c r="Z103" i="26"/>
  <c r="Y103" i="26"/>
  <c r="X103" i="26"/>
  <c r="W103" i="26"/>
  <c r="V103" i="26"/>
  <c r="U103" i="26"/>
  <c r="T103" i="26"/>
  <c r="V114" i="27"/>
  <c r="U114" i="27"/>
  <c r="Z114" i="27"/>
  <c r="Y114" i="27"/>
  <c r="X114" i="27"/>
  <c r="T114" i="27"/>
  <c r="W114" i="27"/>
  <c r="S114" i="27"/>
  <c r="Z148" i="16"/>
  <c r="Z154" i="16"/>
  <c r="Z160" i="16"/>
  <c r="AF160" i="16" s="1"/>
  <c r="Z166" i="16"/>
  <c r="Z172" i="16"/>
  <c r="AF172" i="16" s="1"/>
  <c r="Z178" i="16"/>
  <c r="Z184" i="16"/>
  <c r="T100" i="17"/>
  <c r="T106" i="17"/>
  <c r="Z106" i="17" s="1"/>
  <c r="T112" i="17"/>
  <c r="T118" i="17"/>
  <c r="T124" i="17"/>
  <c r="T130" i="17"/>
  <c r="T136" i="17"/>
  <c r="Q191" i="17"/>
  <c r="Q197" i="17"/>
  <c r="W197" i="17" s="1"/>
  <c r="Q203" i="17"/>
  <c r="W203" i="17" s="1"/>
  <c r="U207" i="17"/>
  <c r="P207" i="17"/>
  <c r="P211" i="17"/>
  <c r="W211" i="17" s="1"/>
  <c r="P229" i="17"/>
  <c r="Y60" i="18"/>
  <c r="Y78" i="18"/>
  <c r="Y108" i="18"/>
  <c r="T108" i="18"/>
  <c r="T112" i="18"/>
  <c r="T116" i="18"/>
  <c r="U120" i="18"/>
  <c r="Y121" i="18"/>
  <c r="S123" i="18"/>
  <c r="Z123" i="18"/>
  <c r="S127" i="18"/>
  <c r="U135" i="18"/>
  <c r="Y136" i="18"/>
  <c r="AA147" i="18"/>
  <c r="AE148" i="18"/>
  <c r="Z154" i="18"/>
  <c r="AE155" i="18"/>
  <c r="AF159" i="18"/>
  <c r="Z161" i="18"/>
  <c r="Z165" i="18"/>
  <c r="AA169" i="18"/>
  <c r="AF172" i="18"/>
  <c r="AA172" i="18"/>
  <c r="Y176" i="18"/>
  <c r="AE181" i="18"/>
  <c r="AD183" i="18"/>
  <c r="Y183" i="18"/>
  <c r="P191" i="18"/>
  <c r="Q195" i="18"/>
  <c r="Q202" i="18"/>
  <c r="Q206" i="18"/>
  <c r="V217" i="18"/>
  <c r="Q217" i="18"/>
  <c r="Q221" i="18"/>
  <c r="Q225" i="18"/>
  <c r="R229" i="18"/>
  <c r="AF54" i="19"/>
  <c r="C5" i="19" s="1"/>
  <c r="Y56" i="19"/>
  <c r="Y62" i="19"/>
  <c r="Y68" i="19"/>
  <c r="Y74" i="19"/>
  <c r="Y80" i="19"/>
  <c r="Y86" i="19"/>
  <c r="Y92" i="19"/>
  <c r="T105" i="19"/>
  <c r="U113" i="19"/>
  <c r="U116" i="19"/>
  <c r="Z118" i="19"/>
  <c r="X118" i="19"/>
  <c r="U118" i="19"/>
  <c r="T129" i="19"/>
  <c r="AA149" i="19"/>
  <c r="Z149" i="19"/>
  <c r="Y149" i="19"/>
  <c r="AD149" i="19"/>
  <c r="AE155" i="19"/>
  <c r="AD165" i="19"/>
  <c r="Z165" i="19"/>
  <c r="Y165" i="19"/>
  <c r="AE173" i="19"/>
  <c r="AD183" i="19"/>
  <c r="Z183" i="19"/>
  <c r="Y183" i="19"/>
  <c r="U202" i="19"/>
  <c r="T202" i="19"/>
  <c r="S202" i="19"/>
  <c r="P202" i="19"/>
  <c r="W202" i="19"/>
  <c r="P211" i="19"/>
  <c r="U217" i="19"/>
  <c r="AF54" i="20"/>
  <c r="AC54" i="20"/>
  <c r="AE54" i="20"/>
  <c r="K5" i="20" s="1"/>
  <c r="AD54" i="20"/>
  <c r="AB54" i="20"/>
  <c r="Y54" i="20"/>
  <c r="Y69" i="20"/>
  <c r="Z81" i="20"/>
  <c r="AE81" i="20"/>
  <c r="AA81" i="20"/>
  <c r="Y81" i="20"/>
  <c r="AD83" i="20"/>
  <c r="AA83" i="20"/>
  <c r="AF83" i="20"/>
  <c r="AE83" i="20"/>
  <c r="AC83" i="20"/>
  <c r="Y83" i="20"/>
  <c r="W108" i="20"/>
  <c r="S117" i="20"/>
  <c r="Z136" i="20"/>
  <c r="Z158" i="20"/>
  <c r="AA164" i="20"/>
  <c r="AE174" i="20"/>
  <c r="AD174" i="20"/>
  <c r="AA174" i="20"/>
  <c r="AB174" i="20"/>
  <c r="R191" i="20"/>
  <c r="T196" i="20"/>
  <c r="S205" i="20"/>
  <c r="S221" i="20"/>
  <c r="Z57" i="21"/>
  <c r="G5" i="21" s="1"/>
  <c r="AC64" i="21"/>
  <c r="AF82" i="21"/>
  <c r="AD82" i="21"/>
  <c r="Z82" i="21"/>
  <c r="AB82" i="21"/>
  <c r="AA82" i="21"/>
  <c r="Y82" i="21"/>
  <c r="AE82" i="21"/>
  <c r="X101" i="21"/>
  <c r="W101" i="21"/>
  <c r="V101" i="21"/>
  <c r="U101" i="21"/>
  <c r="S101" i="21"/>
  <c r="Y101" i="21"/>
  <c r="X107" i="21"/>
  <c r="W107" i="21"/>
  <c r="V107" i="21"/>
  <c r="U107" i="21"/>
  <c r="S107" i="21"/>
  <c r="Z107" i="21"/>
  <c r="Y107" i="21"/>
  <c r="T107" i="21"/>
  <c r="V137" i="21"/>
  <c r="Z137" i="21"/>
  <c r="X137" i="21"/>
  <c r="S137" i="21"/>
  <c r="U137" i="21"/>
  <c r="T137" i="21"/>
  <c r="Y155" i="21"/>
  <c r="R193" i="21"/>
  <c r="U228" i="21"/>
  <c r="T113" i="22"/>
  <c r="Z113" i="22"/>
  <c r="X113" i="22"/>
  <c r="S113" i="22"/>
  <c r="Y113" i="22"/>
  <c r="W113" i="22"/>
  <c r="V113" i="22"/>
  <c r="U113" i="22"/>
  <c r="AB59" i="23"/>
  <c r="AE166" i="23"/>
  <c r="AD166" i="23"/>
  <c r="AB166" i="23"/>
  <c r="AA166" i="23"/>
  <c r="Z166" i="23"/>
  <c r="Y166" i="23"/>
  <c r="AD84" i="24"/>
  <c r="AF84" i="24"/>
  <c r="AE84" i="24"/>
  <c r="AC84" i="24"/>
  <c r="AB84" i="24"/>
  <c r="AA84" i="24"/>
  <c r="Y84" i="24"/>
  <c r="Z84" i="24"/>
  <c r="Y147" i="16"/>
  <c r="AF147" i="16" s="1"/>
  <c r="AA148" i="16"/>
  <c r="Y153" i="16"/>
  <c r="AA154" i="16"/>
  <c r="Y159" i="16"/>
  <c r="AA160" i="16"/>
  <c r="Y165" i="16"/>
  <c r="AF165" i="16" s="1"/>
  <c r="AA166" i="16"/>
  <c r="Y171" i="16"/>
  <c r="AF171" i="16" s="1"/>
  <c r="AA172" i="16"/>
  <c r="Y177" i="16"/>
  <c r="AA178" i="16"/>
  <c r="Y183" i="16"/>
  <c r="AA184" i="16"/>
  <c r="S99" i="17"/>
  <c r="Z99" i="17" s="1"/>
  <c r="U100" i="17"/>
  <c r="S105" i="17"/>
  <c r="Z105" i="17" s="1"/>
  <c r="U106" i="17"/>
  <c r="S111" i="17"/>
  <c r="Z111" i="17" s="1"/>
  <c r="U112" i="17"/>
  <c r="S117" i="17"/>
  <c r="Z117" i="17" s="1"/>
  <c r="U118" i="17"/>
  <c r="Z118" i="17" s="1"/>
  <c r="S123" i="17"/>
  <c r="Z123" i="17" s="1"/>
  <c r="U124" i="17"/>
  <c r="S129" i="17"/>
  <c r="U130" i="17"/>
  <c r="S135" i="17"/>
  <c r="U136" i="17"/>
  <c r="R191" i="17"/>
  <c r="P196" i="17"/>
  <c r="R197" i="17"/>
  <c r="P202" i="17"/>
  <c r="W202" i="17" s="1"/>
  <c r="R203" i="17"/>
  <c r="Q207" i="17"/>
  <c r="R211" i="17"/>
  <c r="R214" i="17"/>
  <c r="P218" i="17"/>
  <c r="U225" i="17"/>
  <c r="P225" i="17"/>
  <c r="R229" i="17"/>
  <c r="AD56" i="18"/>
  <c r="I5" i="18" s="1"/>
  <c r="Y56" i="18"/>
  <c r="AA60" i="18"/>
  <c r="AF63" i="18"/>
  <c r="AA63" i="18"/>
  <c r="Y67" i="18"/>
  <c r="AD74" i="18"/>
  <c r="Y74" i="18"/>
  <c r="AA78" i="18"/>
  <c r="AF81" i="18"/>
  <c r="AA81" i="18"/>
  <c r="Y85" i="18"/>
  <c r="AD92" i="18"/>
  <c r="Y92" i="18"/>
  <c r="S100" i="18"/>
  <c r="S104" i="18"/>
  <c r="S108" i="18"/>
  <c r="V112" i="18"/>
  <c r="U116" i="18"/>
  <c r="V120" i="18"/>
  <c r="Z121" i="18"/>
  <c r="T123" i="18"/>
  <c r="T127" i="18"/>
  <c r="V135" i="18"/>
  <c r="Z136" i="18"/>
  <c r="Y138" i="18"/>
  <c r="T138" i="18"/>
  <c r="AB147" i="18"/>
  <c r="AB154" i="18"/>
  <c r="AF155" i="18"/>
  <c r="Y157" i="18"/>
  <c r="AA161" i="18"/>
  <c r="AA165" i="18"/>
  <c r="AB169" i="18"/>
  <c r="Y172" i="18"/>
  <c r="Z176" i="18"/>
  <c r="Y179" i="18"/>
  <c r="AF181" i="18"/>
  <c r="Z183" i="18"/>
  <c r="Q191" i="18"/>
  <c r="R195" i="18"/>
  <c r="R202" i="18"/>
  <c r="R206" i="18"/>
  <c r="P209" i="18"/>
  <c r="P213" i="18"/>
  <c r="P217" i="18"/>
  <c r="S221" i="18"/>
  <c r="R225" i="18"/>
  <c r="S229" i="18"/>
  <c r="AA56" i="19"/>
  <c r="AA62" i="19"/>
  <c r="AA68" i="19"/>
  <c r="AA74" i="19"/>
  <c r="AA80" i="19"/>
  <c r="AA86" i="19"/>
  <c r="AA92" i="19"/>
  <c r="U105" i="19"/>
  <c r="Z107" i="19"/>
  <c r="W107" i="19"/>
  <c r="S107" i="19"/>
  <c r="V110" i="19"/>
  <c r="T110" i="19"/>
  <c r="Y110" i="19"/>
  <c r="V113" i="19"/>
  <c r="W116" i="19"/>
  <c r="S118" i="19"/>
  <c r="U129" i="19"/>
  <c r="Z131" i="19"/>
  <c r="W131" i="19"/>
  <c r="S131" i="19"/>
  <c r="V134" i="19"/>
  <c r="U134" i="19"/>
  <c r="T134" i="19"/>
  <c r="Y134" i="19"/>
  <c r="Z136" i="19"/>
  <c r="Y136" i="19"/>
  <c r="X136" i="19"/>
  <c r="U136" i="19"/>
  <c r="AB149" i="19"/>
  <c r="AF155" i="19"/>
  <c r="AE157" i="19"/>
  <c r="AD157" i="19"/>
  <c r="AC157" i="19"/>
  <c r="Z157" i="19"/>
  <c r="AA165" i="19"/>
  <c r="AF173" i="19"/>
  <c r="AE175" i="19"/>
  <c r="AD175" i="19"/>
  <c r="AC175" i="19"/>
  <c r="Z175" i="19"/>
  <c r="AA183" i="19"/>
  <c r="W197" i="19"/>
  <c r="V197" i="19"/>
  <c r="U197" i="19"/>
  <c r="R197" i="19"/>
  <c r="Q202" i="19"/>
  <c r="V206" i="19"/>
  <c r="S206" i="19"/>
  <c r="R206" i="19"/>
  <c r="Q206" i="19"/>
  <c r="W206" i="19"/>
  <c r="U206" i="19"/>
  <c r="Q211" i="19"/>
  <c r="S221" i="19"/>
  <c r="P221" i="19"/>
  <c r="U221" i="19"/>
  <c r="T221" i="19"/>
  <c r="R221" i="19"/>
  <c r="W221" i="19"/>
  <c r="U228" i="19"/>
  <c r="R228" i="19"/>
  <c r="T228" i="19"/>
  <c r="S228" i="19"/>
  <c r="Q228" i="19"/>
  <c r="W228" i="19"/>
  <c r="Z54" i="20"/>
  <c r="AB58" i="20"/>
  <c r="Y58" i="20"/>
  <c r="AF58" i="20"/>
  <c r="AE58" i="20"/>
  <c r="AD58" i="20"/>
  <c r="Z58" i="20"/>
  <c r="AB69" i="20"/>
  <c r="Z75" i="20"/>
  <c r="AB75" i="20"/>
  <c r="AA75" i="20"/>
  <c r="Y75" i="20"/>
  <c r="AE75" i="20"/>
  <c r="AD75" i="20"/>
  <c r="AB81" i="20"/>
  <c r="Z83" i="20"/>
  <c r="AE89" i="20"/>
  <c r="AD89" i="20"/>
  <c r="AA89" i="20"/>
  <c r="AB89" i="20"/>
  <c r="Z89" i="20"/>
  <c r="Y89" i="20"/>
  <c r="AF89" i="20"/>
  <c r="Z105" i="20"/>
  <c r="Y105" i="20"/>
  <c r="V105" i="20"/>
  <c r="U105" i="20"/>
  <c r="X108" i="20"/>
  <c r="X117" i="20"/>
  <c r="X128" i="20"/>
  <c r="W128" i="20"/>
  <c r="T128" i="20"/>
  <c r="Z128" i="20"/>
  <c r="U128" i="20"/>
  <c r="AF145" i="20"/>
  <c r="AC145" i="20"/>
  <c r="AE145" i="20"/>
  <c r="AD145" i="20"/>
  <c r="AB145" i="20"/>
  <c r="Y145" i="20"/>
  <c r="AC149" i="20"/>
  <c r="AB149" i="20"/>
  <c r="Y149" i="20"/>
  <c r="AF149" i="20"/>
  <c r="AA149" i="20"/>
  <c r="AE156" i="20"/>
  <c r="AD156" i="20"/>
  <c r="AA156" i="20"/>
  <c r="Z156" i="20"/>
  <c r="Y156" i="20"/>
  <c r="AB158" i="20"/>
  <c r="AB164" i="20"/>
  <c r="AE170" i="20"/>
  <c r="AD170" i="20"/>
  <c r="AC170" i="20"/>
  <c r="AB170" i="20"/>
  <c r="Y170" i="20"/>
  <c r="Y174" i="20"/>
  <c r="W191" i="20"/>
  <c r="U196" i="20"/>
  <c r="U205" i="20"/>
  <c r="W214" i="20"/>
  <c r="V214" i="20"/>
  <c r="U214" i="20"/>
  <c r="S214" i="20"/>
  <c r="R214" i="20"/>
  <c r="W227" i="20"/>
  <c r="U227" i="20"/>
  <c r="S227" i="20"/>
  <c r="R227" i="20"/>
  <c r="Q227" i="20"/>
  <c r="V227" i="20"/>
  <c r="AA57" i="21"/>
  <c r="AC82" i="21"/>
  <c r="T101" i="21"/>
  <c r="Z114" i="21"/>
  <c r="Y114" i="21"/>
  <c r="X114" i="21"/>
  <c r="W114" i="21"/>
  <c r="U114" i="21"/>
  <c r="S114" i="21"/>
  <c r="W137" i="21"/>
  <c r="T193" i="21"/>
  <c r="AE64" i="22"/>
  <c r="Z64" i="22"/>
  <c r="AD64" i="22"/>
  <c r="Y64" i="22"/>
  <c r="AF64" i="22"/>
  <c r="AC64" i="22"/>
  <c r="AB64" i="22"/>
  <c r="AB89" i="22"/>
  <c r="AE89" i="22"/>
  <c r="AD89" i="22"/>
  <c r="AC89" i="22"/>
  <c r="AA89" i="22"/>
  <c r="Y89" i="22"/>
  <c r="AF89" i="22"/>
  <c r="W129" i="22"/>
  <c r="V129" i="22"/>
  <c r="U129" i="22"/>
  <c r="T129" i="22"/>
  <c r="S129" i="22"/>
  <c r="Z129" i="22"/>
  <c r="Y129" i="22"/>
  <c r="T131" i="22"/>
  <c r="Z131" i="22"/>
  <c r="X131" i="22"/>
  <c r="S131" i="22"/>
  <c r="Y131" i="22"/>
  <c r="W131" i="22"/>
  <c r="U131" i="22"/>
  <c r="V223" i="22"/>
  <c r="T223" i="22"/>
  <c r="S223" i="22"/>
  <c r="U223" i="22"/>
  <c r="Q223" i="22"/>
  <c r="P223" i="22"/>
  <c r="W223" i="22"/>
  <c r="AC166" i="23"/>
  <c r="S111" i="18"/>
  <c r="Z111" i="18"/>
  <c r="AD153" i="18"/>
  <c r="Y153" i="18"/>
  <c r="AF160" i="18"/>
  <c r="AA160" i="18"/>
  <c r="V205" i="18"/>
  <c r="Q205" i="18"/>
  <c r="P220" i="18"/>
  <c r="W220" i="18"/>
  <c r="AA58" i="19"/>
  <c r="Y58" i="19"/>
  <c r="AD58" i="19"/>
  <c r="AA64" i="19"/>
  <c r="Y64" i="19"/>
  <c r="AD64" i="19"/>
  <c r="AA70" i="19"/>
  <c r="Y70" i="19"/>
  <c r="AD70" i="19"/>
  <c r="AA76" i="19"/>
  <c r="Y76" i="19"/>
  <c r="AD76" i="19"/>
  <c r="AA82" i="19"/>
  <c r="Y82" i="19"/>
  <c r="AD82" i="19"/>
  <c r="AA88" i="19"/>
  <c r="Y88" i="19"/>
  <c r="AD88" i="19"/>
  <c r="X99" i="19"/>
  <c r="V99" i="19"/>
  <c r="S99" i="19"/>
  <c r="X123" i="19"/>
  <c r="V123" i="19"/>
  <c r="S123" i="19"/>
  <c r="AA167" i="19"/>
  <c r="Z167" i="19"/>
  <c r="Y167" i="19"/>
  <c r="AD167" i="19"/>
  <c r="AC167" i="19"/>
  <c r="V218" i="19"/>
  <c r="W218" i="19"/>
  <c r="U218" i="19"/>
  <c r="R218" i="19"/>
  <c r="AF70" i="21"/>
  <c r="AD70" i="21"/>
  <c r="Z70" i="21"/>
  <c r="AE70" i="21"/>
  <c r="AA70" i="21"/>
  <c r="AB156" i="21"/>
  <c r="AF156" i="21"/>
  <c r="AD156" i="21"/>
  <c r="Y156" i="21"/>
  <c r="AC156" i="21"/>
  <c r="AA156" i="21"/>
  <c r="Z156" i="21"/>
  <c r="U229" i="21"/>
  <c r="W229" i="21"/>
  <c r="V229" i="21"/>
  <c r="T229" i="21"/>
  <c r="S229" i="21"/>
  <c r="Q229" i="21"/>
  <c r="R229" i="21"/>
  <c r="P229" i="21"/>
  <c r="AB59" i="22"/>
  <c r="AF59" i="22"/>
  <c r="AE59" i="22"/>
  <c r="AD59" i="22"/>
  <c r="AC59" i="22"/>
  <c r="Z59" i="22"/>
  <c r="AA59" i="22"/>
  <c r="AE82" i="22"/>
  <c r="Z82" i="22"/>
  <c r="AF82" i="22"/>
  <c r="AD82" i="22"/>
  <c r="AC82" i="22"/>
  <c r="AA82" i="22"/>
  <c r="AB82" i="22"/>
  <c r="Y82" i="22"/>
  <c r="Z104" i="22"/>
  <c r="U104" i="22"/>
  <c r="W104" i="22"/>
  <c r="V104" i="22"/>
  <c r="T104" i="22"/>
  <c r="S104" i="22"/>
  <c r="Y104" i="22"/>
  <c r="X104" i="22"/>
  <c r="X127" i="22"/>
  <c r="S127" i="22"/>
  <c r="Z127" i="22"/>
  <c r="Y127" i="22"/>
  <c r="V127" i="22"/>
  <c r="U127" i="22"/>
  <c r="V218" i="22"/>
  <c r="U218" i="22"/>
  <c r="T218" i="22"/>
  <c r="P218" i="22"/>
  <c r="S218" i="22"/>
  <c r="R218" i="22"/>
  <c r="AD164" i="23"/>
  <c r="AA164" i="23"/>
  <c r="AF164" i="23"/>
  <c r="Y164" i="23"/>
  <c r="AB164" i="23"/>
  <c r="AE164" i="23"/>
  <c r="AC164" i="23"/>
  <c r="Z168" i="23"/>
  <c r="AF168" i="23"/>
  <c r="AA168" i="23"/>
  <c r="AE168" i="23"/>
  <c r="AD168" i="23"/>
  <c r="AB168" i="23"/>
  <c r="Y168" i="23"/>
  <c r="AC168" i="23"/>
  <c r="S207" i="17"/>
  <c r="T211" i="17"/>
  <c r="Q214" i="17"/>
  <c r="W214" i="17" s="1"/>
  <c r="R218" i="17"/>
  <c r="Q221" i="17"/>
  <c r="R225" i="17"/>
  <c r="T229" i="17"/>
  <c r="AA56" i="18"/>
  <c r="AC60" i="18"/>
  <c r="Z63" i="18"/>
  <c r="AA67" i="18"/>
  <c r="Z70" i="18"/>
  <c r="AC78" i="18"/>
  <c r="AA85" i="18"/>
  <c r="Z88" i="18"/>
  <c r="V100" i="18"/>
  <c r="U104" i="18"/>
  <c r="V108" i="18"/>
  <c r="T111" i="18"/>
  <c r="X112" i="18"/>
  <c r="W116" i="18"/>
  <c r="X120" i="18"/>
  <c r="V123" i="18"/>
  <c r="Y126" i="18"/>
  <c r="T126" i="18"/>
  <c r="W127" i="18"/>
  <c r="T130" i="18"/>
  <c r="T134" i="18"/>
  <c r="X135" i="18"/>
  <c r="AE147" i="18"/>
  <c r="Y149" i="18"/>
  <c r="Z153" i="18"/>
  <c r="AD154" i="18"/>
  <c r="AB157" i="18"/>
  <c r="Y160" i="18"/>
  <c r="AD161" i="18"/>
  <c r="Y164" i="18"/>
  <c r="AC165" i="18"/>
  <c r="AD169" i="18"/>
  <c r="AB172" i="18"/>
  <c r="Y175" i="18"/>
  <c r="AC176" i="18"/>
  <c r="AA179" i="18"/>
  <c r="AB183" i="18"/>
  <c r="T191" i="18"/>
  <c r="T195" i="18"/>
  <c r="P201" i="18"/>
  <c r="T202" i="18"/>
  <c r="P205" i="18"/>
  <c r="U206" i="18"/>
  <c r="S209" i="18"/>
  <c r="R213" i="18"/>
  <c r="S217" i="18"/>
  <c r="Q220" i="18"/>
  <c r="U221" i="18"/>
  <c r="T225" i="18"/>
  <c r="U229" i="18"/>
  <c r="AC56" i="19"/>
  <c r="Z58" i="19"/>
  <c r="AC62" i="19"/>
  <c r="Z64" i="19"/>
  <c r="AC68" i="19"/>
  <c r="Z70" i="19"/>
  <c r="AC74" i="19"/>
  <c r="Z76" i="19"/>
  <c r="AC80" i="19"/>
  <c r="Z82" i="19"/>
  <c r="AC86" i="19"/>
  <c r="Z88" i="19"/>
  <c r="AC92" i="19"/>
  <c r="T99" i="19"/>
  <c r="Y105" i="19"/>
  <c r="Z112" i="19"/>
  <c r="X112" i="19"/>
  <c r="U112" i="19"/>
  <c r="Y113" i="19"/>
  <c r="Z116" i="19"/>
  <c r="V118" i="19"/>
  <c r="T123" i="19"/>
  <c r="Y129" i="19"/>
  <c r="AE149" i="19"/>
  <c r="AA157" i="19"/>
  <c r="AC165" i="19"/>
  <c r="AB167" i="19"/>
  <c r="AC183" i="19"/>
  <c r="S195" i="19"/>
  <c r="R195" i="19"/>
  <c r="Q195" i="19"/>
  <c r="V195" i="19"/>
  <c r="U195" i="19"/>
  <c r="Q197" i="19"/>
  <c r="V202" i="19"/>
  <c r="T206" i="19"/>
  <c r="U211" i="19"/>
  <c r="P218" i="19"/>
  <c r="V221" i="19"/>
  <c r="V228" i="19"/>
  <c r="K12" i="20"/>
  <c r="AC58" i="20"/>
  <c r="AF75" i="20"/>
  <c r="AD81" i="20"/>
  <c r="Z87" i="20"/>
  <c r="AF87" i="20"/>
  <c r="AE87" i="20"/>
  <c r="AD87" i="20"/>
  <c r="AA87" i="20"/>
  <c r="T105" i="20"/>
  <c r="V128" i="20"/>
  <c r="AA145" i="20"/>
  <c r="AD149" i="20"/>
  <c r="AC156" i="20"/>
  <c r="AA170" i="20"/>
  <c r="AC174" i="20"/>
  <c r="U197" i="20"/>
  <c r="S197" i="20"/>
  <c r="R197" i="20"/>
  <c r="Q197" i="20"/>
  <c r="W197" i="20"/>
  <c r="V197" i="20"/>
  <c r="U219" i="20"/>
  <c r="T219" i="20"/>
  <c r="S219" i="20"/>
  <c r="Q219" i="20"/>
  <c r="V219" i="20"/>
  <c r="R219" i="20"/>
  <c r="P219" i="20"/>
  <c r="Y70" i="21"/>
  <c r="AF88" i="21"/>
  <c r="AD88" i="21"/>
  <c r="Z88" i="21"/>
  <c r="AE88" i="21"/>
  <c r="AA88" i="21"/>
  <c r="V114" i="21"/>
  <c r="V130" i="21"/>
  <c r="U130" i="21"/>
  <c r="T130" i="21"/>
  <c r="S130" i="21"/>
  <c r="Y130" i="21"/>
  <c r="Z130" i="21"/>
  <c r="X130" i="21"/>
  <c r="Z149" i="21"/>
  <c r="AE149" i="21"/>
  <c r="AA149" i="21"/>
  <c r="AF149" i="21"/>
  <c r="AD149" i="21"/>
  <c r="Y149" i="21"/>
  <c r="AE156" i="21"/>
  <c r="R225" i="21"/>
  <c r="W225" i="21"/>
  <c r="V225" i="21"/>
  <c r="U225" i="21"/>
  <c r="T225" i="21"/>
  <c r="Q225" i="21"/>
  <c r="S225" i="21"/>
  <c r="Y59" i="22"/>
  <c r="T127" i="22"/>
  <c r="Z134" i="22"/>
  <c r="U134" i="22"/>
  <c r="Y134" i="22"/>
  <c r="X134" i="22"/>
  <c r="V134" i="22"/>
  <c r="T134" i="22"/>
  <c r="S134" i="22"/>
  <c r="AD145" i="22"/>
  <c r="Z145" i="22"/>
  <c r="AF145" i="22"/>
  <c r="AE145" i="22"/>
  <c r="AC145" i="22"/>
  <c r="AB145" i="22"/>
  <c r="Y145" i="22"/>
  <c r="P196" i="22"/>
  <c r="V196" i="22"/>
  <c r="T196" i="22"/>
  <c r="S196" i="22"/>
  <c r="Q196" i="22"/>
  <c r="R196" i="22"/>
  <c r="W196" i="22"/>
  <c r="U196" i="22"/>
  <c r="Q218" i="22"/>
  <c r="Z164" i="23"/>
  <c r="AD59" i="20"/>
  <c r="AA59" i="20"/>
  <c r="AF66" i="20"/>
  <c r="AC66" i="20"/>
  <c r="AB70" i="20"/>
  <c r="Y70" i="20"/>
  <c r="AD77" i="20"/>
  <c r="AA77" i="20"/>
  <c r="AF84" i="20"/>
  <c r="AC84" i="20"/>
  <c r="AC88" i="20"/>
  <c r="AB88" i="20"/>
  <c r="Y88" i="20"/>
  <c r="Z99" i="20"/>
  <c r="Y99" i="20"/>
  <c r="V99" i="20"/>
  <c r="U106" i="20"/>
  <c r="V110" i="20"/>
  <c r="W126" i="20"/>
  <c r="Z135" i="20"/>
  <c r="Y135" i="20"/>
  <c r="V135" i="20"/>
  <c r="AC160" i="20"/>
  <c r="AE162" i="20"/>
  <c r="AD162" i="20"/>
  <c r="AA162" i="20"/>
  <c r="AA175" i="20"/>
  <c r="AA178" i="20"/>
  <c r="Z178" i="20"/>
  <c r="Q199" i="20"/>
  <c r="P199" i="20"/>
  <c r="R209" i="20"/>
  <c r="W226" i="20"/>
  <c r="V226" i="20"/>
  <c r="U226" i="20"/>
  <c r="S226" i="20"/>
  <c r="AE74" i="21"/>
  <c r="AD74" i="21"/>
  <c r="AC74" i="21"/>
  <c r="AB74" i="21"/>
  <c r="Z74" i="21"/>
  <c r="AE92" i="21"/>
  <c r="AD92" i="21"/>
  <c r="AC92" i="21"/>
  <c r="AB92" i="21"/>
  <c r="Z92" i="21"/>
  <c r="Z108" i="21"/>
  <c r="Y108" i="21"/>
  <c r="X108" i="21"/>
  <c r="W108" i="21"/>
  <c r="U108" i="21"/>
  <c r="V115" i="21"/>
  <c r="Z126" i="21"/>
  <c r="Y126" i="21"/>
  <c r="X126" i="21"/>
  <c r="W126" i="21"/>
  <c r="U126" i="21"/>
  <c r="V133" i="21"/>
  <c r="Z173" i="21"/>
  <c r="AF173" i="21"/>
  <c r="AE173" i="21"/>
  <c r="AD173" i="21"/>
  <c r="AC173" i="21"/>
  <c r="AA173" i="21"/>
  <c r="T200" i="21"/>
  <c r="K16" i="22"/>
  <c r="AC56" i="22"/>
  <c r="T101" i="22"/>
  <c r="Y101" i="22"/>
  <c r="X101" i="22"/>
  <c r="W101" i="22"/>
  <c r="V101" i="22"/>
  <c r="S101" i="22"/>
  <c r="AE161" i="22"/>
  <c r="AC161" i="22"/>
  <c r="Z161" i="22"/>
  <c r="AF161" i="22"/>
  <c r="AD161" i="22"/>
  <c r="AB161" i="22"/>
  <c r="Y161" i="22"/>
  <c r="U200" i="22"/>
  <c r="V200" i="22"/>
  <c r="T200" i="22"/>
  <c r="R200" i="22"/>
  <c r="W200" i="22"/>
  <c r="Q200" i="22"/>
  <c r="W226" i="24"/>
  <c r="V226" i="24"/>
  <c r="U226" i="24"/>
  <c r="T226" i="24"/>
  <c r="P226" i="24"/>
  <c r="S226" i="24"/>
  <c r="Q226" i="24"/>
  <c r="R226" i="24"/>
  <c r="W103" i="19"/>
  <c r="W109" i="19"/>
  <c r="W115" i="19"/>
  <c r="W121" i="19"/>
  <c r="W127" i="19"/>
  <c r="W133" i="19"/>
  <c r="AB148" i="19"/>
  <c r="AB154" i="19"/>
  <c r="AB160" i="19"/>
  <c r="AB166" i="19"/>
  <c r="AB172" i="19"/>
  <c r="AB178" i="19"/>
  <c r="AB184" i="19"/>
  <c r="P192" i="19"/>
  <c r="T194" i="19"/>
  <c r="P198" i="19"/>
  <c r="T200" i="19"/>
  <c r="P204" i="19"/>
  <c r="S205" i="19"/>
  <c r="T220" i="19"/>
  <c r="Y55" i="20"/>
  <c r="Y59" i="20"/>
  <c r="Y66" i="20"/>
  <c r="AC67" i="20"/>
  <c r="Z70" i="20"/>
  <c r="Y73" i="20"/>
  <c r="Y77" i="20"/>
  <c r="Y84" i="20"/>
  <c r="AC85" i="20"/>
  <c r="Z88" i="20"/>
  <c r="S99" i="20"/>
  <c r="T102" i="20"/>
  <c r="S102" i="20"/>
  <c r="V106" i="20"/>
  <c r="X122" i="20"/>
  <c r="W122" i="20"/>
  <c r="T122" i="20"/>
  <c r="S135" i="20"/>
  <c r="T138" i="20"/>
  <c r="S138" i="20"/>
  <c r="Y146" i="20"/>
  <c r="Y162" i="20"/>
  <c r="AE168" i="20"/>
  <c r="AD168" i="20"/>
  <c r="AA168" i="20"/>
  <c r="Y178" i="20"/>
  <c r="AA184" i="20"/>
  <c r="Z184" i="20"/>
  <c r="R199" i="20"/>
  <c r="W202" i="20"/>
  <c r="V202" i="20"/>
  <c r="S202" i="20"/>
  <c r="T203" i="20"/>
  <c r="W220" i="20"/>
  <c r="V220" i="20"/>
  <c r="U220" i="20"/>
  <c r="S220" i="20"/>
  <c r="P226" i="20"/>
  <c r="Y74" i="21"/>
  <c r="Y92" i="21"/>
  <c r="Z103" i="21"/>
  <c r="Y103" i="21"/>
  <c r="W103" i="21"/>
  <c r="S103" i="21"/>
  <c r="S108" i="21"/>
  <c r="Z121" i="21"/>
  <c r="Y121" i="21"/>
  <c r="W121" i="21"/>
  <c r="S121" i="21"/>
  <c r="S126" i="21"/>
  <c r="Z167" i="21"/>
  <c r="AE167" i="21"/>
  <c r="AA167" i="21"/>
  <c r="Y173" i="21"/>
  <c r="S198" i="21"/>
  <c r="T198" i="21"/>
  <c r="R198" i="21"/>
  <c r="Q198" i="21"/>
  <c r="P198" i="21"/>
  <c r="W198" i="21"/>
  <c r="S210" i="21"/>
  <c r="V210" i="21"/>
  <c r="U210" i="21"/>
  <c r="T210" i="21"/>
  <c r="R210" i="21"/>
  <c r="P210" i="21"/>
  <c r="Z116" i="22"/>
  <c r="U116" i="22"/>
  <c r="Y116" i="22"/>
  <c r="X116" i="22"/>
  <c r="V116" i="22"/>
  <c r="T192" i="22"/>
  <c r="Q192" i="22"/>
  <c r="U192" i="22"/>
  <c r="R192" i="22"/>
  <c r="P192" i="22"/>
  <c r="S192" i="22"/>
  <c r="W225" i="22"/>
  <c r="P225" i="22"/>
  <c r="S225" i="22"/>
  <c r="V225" i="22"/>
  <c r="T225" i="22"/>
  <c r="AD91" i="23"/>
  <c r="AA91" i="23"/>
  <c r="AC91" i="23"/>
  <c r="AB91" i="23"/>
  <c r="Z91" i="23"/>
  <c r="Y91" i="23"/>
  <c r="AE91" i="23"/>
  <c r="Y113" i="23"/>
  <c r="V113" i="23"/>
  <c r="Z113" i="23"/>
  <c r="T113" i="23"/>
  <c r="X113" i="23"/>
  <c r="U113" i="23"/>
  <c r="AD182" i="23"/>
  <c r="AA182" i="23"/>
  <c r="AF182" i="23"/>
  <c r="Y182" i="23"/>
  <c r="Z182" i="23"/>
  <c r="AE182" i="23"/>
  <c r="AF150" i="24"/>
  <c r="AE150" i="24"/>
  <c r="AC150" i="24"/>
  <c r="AB150" i="24"/>
  <c r="AD150" i="24"/>
  <c r="AA150" i="24"/>
  <c r="W208" i="24"/>
  <c r="V208" i="24"/>
  <c r="U208" i="24"/>
  <c r="T208" i="24"/>
  <c r="P208" i="24"/>
  <c r="Q208" i="24"/>
  <c r="S208" i="24"/>
  <c r="W214" i="24"/>
  <c r="V214" i="24"/>
  <c r="U214" i="24"/>
  <c r="T214" i="24"/>
  <c r="S214" i="24"/>
  <c r="R214" i="24"/>
  <c r="Q214" i="24"/>
  <c r="P214" i="24"/>
  <c r="U216" i="26"/>
  <c r="V216" i="26"/>
  <c r="Q216" i="26"/>
  <c r="W216" i="26"/>
  <c r="T216" i="26"/>
  <c r="S216" i="26"/>
  <c r="R216" i="26"/>
  <c r="P216" i="26"/>
  <c r="AF148" i="19"/>
  <c r="AF154" i="19"/>
  <c r="AF160" i="19"/>
  <c r="AF166" i="19"/>
  <c r="AF172" i="19"/>
  <c r="AF178" i="19"/>
  <c r="AF184" i="19"/>
  <c r="T192" i="19"/>
  <c r="T198" i="19"/>
  <c r="T204" i="19"/>
  <c r="T208" i="19"/>
  <c r="W212" i="19"/>
  <c r="T226" i="19"/>
  <c r="W230" i="19"/>
  <c r="AC55" i="20"/>
  <c r="AE59" i="20"/>
  <c r="AD66" i="20"/>
  <c r="AE70" i="20"/>
  <c r="AC73" i="20"/>
  <c r="AE77" i="20"/>
  <c r="AD84" i="20"/>
  <c r="AF88" i="20"/>
  <c r="AF91" i="20"/>
  <c r="X99" i="20"/>
  <c r="X102" i="20"/>
  <c r="T114" i="20"/>
  <c r="S114" i="20"/>
  <c r="V118" i="20"/>
  <c r="Y122" i="20"/>
  <c r="X134" i="20"/>
  <c r="W134" i="20"/>
  <c r="T134" i="20"/>
  <c r="X135" i="20"/>
  <c r="X138" i="20"/>
  <c r="AC146" i="20"/>
  <c r="AF151" i="20"/>
  <c r="AC151" i="20"/>
  <c r="AB152" i="20"/>
  <c r="AC161" i="20"/>
  <c r="AB161" i="20"/>
  <c r="Y161" i="20"/>
  <c r="AF162" i="20"/>
  <c r="AC168" i="20"/>
  <c r="AE178" i="20"/>
  <c r="AD184" i="20"/>
  <c r="V199" i="20"/>
  <c r="T202" i="20"/>
  <c r="T220" i="20"/>
  <c r="X103" i="21"/>
  <c r="Z109" i="21"/>
  <c r="Y109" i="21"/>
  <c r="W109" i="21"/>
  <c r="S109" i="21"/>
  <c r="X121" i="21"/>
  <c r="Z127" i="21"/>
  <c r="Y127" i="21"/>
  <c r="W127" i="21"/>
  <c r="S127" i="21"/>
  <c r="AD167" i="21"/>
  <c r="V191" i="21"/>
  <c r="Q191" i="21"/>
  <c r="T191" i="21"/>
  <c r="S191" i="21"/>
  <c r="R191" i="21"/>
  <c r="P191" i="21"/>
  <c r="R195" i="21"/>
  <c r="V195" i="21"/>
  <c r="U195" i="21"/>
  <c r="T195" i="21"/>
  <c r="S195" i="21"/>
  <c r="P195" i="21"/>
  <c r="U199" i="21"/>
  <c r="W199" i="21"/>
  <c r="V199" i="21"/>
  <c r="T199" i="21"/>
  <c r="S199" i="21"/>
  <c r="Q199" i="21"/>
  <c r="Y67" i="22"/>
  <c r="AF67" i="22"/>
  <c r="AE67" i="22"/>
  <c r="AD67" i="22"/>
  <c r="AB67" i="22"/>
  <c r="AA74" i="22"/>
  <c r="AF74" i="22"/>
  <c r="AE74" i="22"/>
  <c r="AD74" i="22"/>
  <c r="AC74" i="22"/>
  <c r="Z74" i="22"/>
  <c r="X109" i="22"/>
  <c r="S109" i="22"/>
  <c r="Z109" i="22"/>
  <c r="Y109" i="22"/>
  <c r="V109" i="22"/>
  <c r="W111" i="22"/>
  <c r="V111" i="22"/>
  <c r="U111" i="22"/>
  <c r="T111" i="22"/>
  <c r="S111" i="22"/>
  <c r="Z111" i="22"/>
  <c r="Y146" i="22"/>
  <c r="AF146" i="22"/>
  <c r="AB146" i="22"/>
  <c r="AE146" i="22"/>
  <c r="Z146" i="22"/>
  <c r="AD151" i="22"/>
  <c r="Z151" i="22"/>
  <c r="AC151" i="22"/>
  <c r="AB151" i="22"/>
  <c r="AA151" i="22"/>
  <c r="Y151" i="22"/>
  <c r="Y158" i="22"/>
  <c r="AF158" i="22"/>
  <c r="AB158" i="22"/>
  <c r="AE158" i="22"/>
  <c r="AD158" i="22"/>
  <c r="AC158" i="22"/>
  <c r="Z158" i="22"/>
  <c r="AD177" i="22"/>
  <c r="AA177" i="22"/>
  <c r="AC177" i="22"/>
  <c r="Z177" i="22"/>
  <c r="AB177" i="22"/>
  <c r="AB182" i="22"/>
  <c r="Y182" i="22"/>
  <c r="AF182" i="22"/>
  <c r="AE182" i="22"/>
  <c r="AC182" i="22"/>
  <c r="AD182" i="22"/>
  <c r="AF184" i="22"/>
  <c r="AC184" i="22"/>
  <c r="AB184" i="22"/>
  <c r="Z184" i="22"/>
  <c r="Y184" i="22"/>
  <c r="AD184" i="22"/>
  <c r="Y128" i="24"/>
  <c r="X128" i="24"/>
  <c r="V128" i="24"/>
  <c r="U128" i="24"/>
  <c r="Z128" i="24"/>
  <c r="W128" i="24"/>
  <c r="T128" i="24"/>
  <c r="S128" i="24"/>
  <c r="AB83" i="26"/>
  <c r="Y83" i="26"/>
  <c r="AE83" i="26"/>
  <c r="AD83" i="26"/>
  <c r="AA83" i="26"/>
  <c r="AF83" i="26"/>
  <c r="AC83" i="26"/>
  <c r="AA91" i="27"/>
  <c r="Y91" i="27"/>
  <c r="AE91" i="27"/>
  <c r="AD91" i="27"/>
  <c r="AB91" i="27"/>
  <c r="AF91" i="27"/>
  <c r="AC91" i="27"/>
  <c r="Z91" i="27"/>
  <c r="X133" i="22"/>
  <c r="S133" i="22"/>
  <c r="W133" i="22"/>
  <c r="V133" i="22"/>
  <c r="U133" i="22"/>
  <c r="T133" i="22"/>
  <c r="Z83" i="23"/>
  <c r="AF83" i="23"/>
  <c r="AD83" i="23"/>
  <c r="AC83" i="23"/>
  <c r="Y83" i="23"/>
  <c r="AE83" i="23"/>
  <c r="AA83" i="23"/>
  <c r="Z133" i="23"/>
  <c r="W133" i="23"/>
  <c r="U133" i="23"/>
  <c r="T133" i="23"/>
  <c r="S133" i="23"/>
  <c r="X133" i="23"/>
  <c r="V133" i="23"/>
  <c r="X138" i="23"/>
  <c r="Z138" i="23"/>
  <c r="Y138" i="23"/>
  <c r="S138" i="23"/>
  <c r="W138" i="23"/>
  <c r="V138" i="23"/>
  <c r="U138" i="23"/>
  <c r="T138" i="23"/>
  <c r="AD146" i="23"/>
  <c r="AA146" i="23"/>
  <c r="AF146" i="23"/>
  <c r="Y146" i="23"/>
  <c r="AB146" i="23"/>
  <c r="AC146" i="23"/>
  <c r="AF80" i="25"/>
  <c r="AE80" i="25"/>
  <c r="AD80" i="25"/>
  <c r="AC80" i="25"/>
  <c r="AB80" i="25"/>
  <c r="AA80" i="25"/>
  <c r="Y80" i="25"/>
  <c r="Z80" i="25"/>
  <c r="Y113" i="25"/>
  <c r="X113" i="25"/>
  <c r="W113" i="25"/>
  <c r="V113" i="25"/>
  <c r="U113" i="25"/>
  <c r="T113" i="25"/>
  <c r="S113" i="25"/>
  <c r="K17" i="20"/>
  <c r="AD53" i="20"/>
  <c r="AA53" i="20"/>
  <c r="AF60" i="20"/>
  <c r="C5" i="20" s="1"/>
  <c r="AC60" i="20"/>
  <c r="AB64" i="20"/>
  <c r="E5" i="20" s="1"/>
  <c r="Y64" i="20"/>
  <c r="AD71" i="20"/>
  <c r="AA71" i="20"/>
  <c r="AF78" i="20"/>
  <c r="AC78" i="20"/>
  <c r="AB82" i="20"/>
  <c r="Y82" i="20"/>
  <c r="Z123" i="20"/>
  <c r="Y123" i="20"/>
  <c r="V123" i="20"/>
  <c r="AA154" i="20"/>
  <c r="Z154" i="20"/>
  <c r="AF169" i="20"/>
  <c r="AC169" i="20"/>
  <c r="AC179" i="20"/>
  <c r="AB179" i="20"/>
  <c r="Y179" i="20"/>
  <c r="U207" i="20"/>
  <c r="T207" i="20"/>
  <c r="Q207" i="20"/>
  <c r="U213" i="20"/>
  <c r="T213" i="20"/>
  <c r="S213" i="20"/>
  <c r="Q213" i="20"/>
  <c r="W215" i="20"/>
  <c r="U215" i="20"/>
  <c r="AE62" i="21"/>
  <c r="AD62" i="21"/>
  <c r="AC62" i="21"/>
  <c r="AB62" i="21"/>
  <c r="Z62" i="21"/>
  <c r="AE80" i="21"/>
  <c r="AD80" i="21"/>
  <c r="AC80" i="21"/>
  <c r="AB80" i="21"/>
  <c r="Z80" i="21"/>
  <c r="Z102" i="21"/>
  <c r="Y102" i="21"/>
  <c r="X102" i="21"/>
  <c r="W102" i="21"/>
  <c r="U102" i="21"/>
  <c r="Z120" i="21"/>
  <c r="Y120" i="21"/>
  <c r="X120" i="21"/>
  <c r="W120" i="21"/>
  <c r="U120" i="21"/>
  <c r="Y136" i="21"/>
  <c r="T136" i="21"/>
  <c r="Z136" i="21"/>
  <c r="X136" i="21"/>
  <c r="W136" i="21"/>
  <c r="V136" i="21"/>
  <c r="S136" i="21"/>
  <c r="W123" i="22"/>
  <c r="Z123" i="22"/>
  <c r="Y123" i="22"/>
  <c r="X123" i="22"/>
  <c r="U123" i="22"/>
  <c r="Y133" i="22"/>
  <c r="T137" i="22"/>
  <c r="Y137" i="22"/>
  <c r="X137" i="22"/>
  <c r="W137" i="22"/>
  <c r="V137" i="22"/>
  <c r="S137" i="22"/>
  <c r="AE155" i="22"/>
  <c r="Z155" i="22"/>
  <c r="AF155" i="22"/>
  <c r="AD155" i="22"/>
  <c r="AC155" i="22"/>
  <c r="AA155" i="22"/>
  <c r="AA159" i="22"/>
  <c r="Y159" i="22"/>
  <c r="AD159" i="22"/>
  <c r="AB159" i="22"/>
  <c r="Y164" i="22"/>
  <c r="AF164" i="22"/>
  <c r="AB164" i="22"/>
  <c r="AE164" i="22"/>
  <c r="AD164" i="22"/>
  <c r="AC164" i="22"/>
  <c r="Z164" i="22"/>
  <c r="V230" i="22"/>
  <c r="U230" i="22"/>
  <c r="T230" i="22"/>
  <c r="S230" i="22"/>
  <c r="Q230" i="22"/>
  <c r="R230" i="22"/>
  <c r="AB83" i="23"/>
  <c r="AF86" i="23"/>
  <c r="AC86" i="23"/>
  <c r="AE86" i="23"/>
  <c r="AB86" i="23"/>
  <c r="AA86" i="23"/>
  <c r="Z86" i="23"/>
  <c r="Y86" i="23"/>
  <c r="AD86" i="23"/>
  <c r="Y133" i="23"/>
  <c r="Z146" i="23"/>
  <c r="AE53" i="24"/>
  <c r="AB53" i="24"/>
  <c r="Z53" i="24"/>
  <c r="AD53" i="24"/>
  <c r="AC53" i="24"/>
  <c r="AA53" i="24"/>
  <c r="Y53" i="24"/>
  <c r="AF53" i="24"/>
  <c r="Z113" i="25"/>
  <c r="K15" i="20"/>
  <c r="X110" i="20"/>
  <c r="W110" i="20"/>
  <c r="T110" i="20"/>
  <c r="T126" i="20"/>
  <c r="S126" i="20"/>
  <c r="AA160" i="20"/>
  <c r="Z160" i="20"/>
  <c r="AF175" i="20"/>
  <c r="AC175" i="20"/>
  <c r="W209" i="20"/>
  <c r="U209" i="20"/>
  <c r="Z115" i="21"/>
  <c r="Y115" i="21"/>
  <c r="W115" i="21"/>
  <c r="S115" i="21"/>
  <c r="Z133" i="21"/>
  <c r="Y133" i="21"/>
  <c r="W133" i="21"/>
  <c r="S133" i="21"/>
  <c r="S192" i="21"/>
  <c r="W192" i="21"/>
  <c r="V192" i="21"/>
  <c r="U192" i="21"/>
  <c r="R192" i="21"/>
  <c r="P200" i="21"/>
  <c r="W200" i="21"/>
  <c r="U200" i="21"/>
  <c r="Q200" i="21"/>
  <c r="AA56" i="22"/>
  <c r="AF56" i="22"/>
  <c r="AD56" i="22"/>
  <c r="I5" i="22" s="1"/>
  <c r="Y56" i="22"/>
  <c r="AA92" i="22"/>
  <c r="AC92" i="22"/>
  <c r="AB92" i="22"/>
  <c r="Z92" i="22"/>
  <c r="Y92" i="22"/>
  <c r="AF92" i="22"/>
  <c r="X115" i="22"/>
  <c r="S115" i="22"/>
  <c r="W115" i="22"/>
  <c r="V115" i="22"/>
  <c r="U115" i="22"/>
  <c r="T115" i="22"/>
  <c r="Z133" i="22"/>
  <c r="Y152" i="22"/>
  <c r="AF152" i="22"/>
  <c r="AB152" i="22"/>
  <c r="AE152" i="22"/>
  <c r="AC152" i="22"/>
  <c r="W207" i="22"/>
  <c r="V207" i="22"/>
  <c r="T207" i="22"/>
  <c r="S207" i="22"/>
  <c r="Q207" i="22"/>
  <c r="U207" i="22"/>
  <c r="K15" i="23"/>
  <c r="AE146" i="23"/>
  <c r="P205" i="19"/>
  <c r="S209" i="19"/>
  <c r="P209" i="19"/>
  <c r="U216" i="19"/>
  <c r="R216" i="19"/>
  <c r="P220" i="19"/>
  <c r="W223" i="19"/>
  <c r="T223" i="19"/>
  <c r="S227" i="19"/>
  <c r="P227" i="19"/>
  <c r="K13" i="20"/>
  <c r="Z53" i="20"/>
  <c r="Z60" i="20"/>
  <c r="AA64" i="20"/>
  <c r="Z67" i="20"/>
  <c r="Z71" i="20"/>
  <c r="Z78" i="20"/>
  <c r="AA82" i="20"/>
  <c r="Z85" i="20"/>
  <c r="S106" i="20"/>
  <c r="S110" i="20"/>
  <c r="T123" i="20"/>
  <c r="U126" i="20"/>
  <c r="Z129" i="20"/>
  <c r="Y129" i="20"/>
  <c r="V129" i="20"/>
  <c r="AE150" i="20"/>
  <c r="AD150" i="20"/>
  <c r="AA150" i="20"/>
  <c r="AB154" i="20"/>
  <c r="Y160" i="20"/>
  <c r="AA166" i="20"/>
  <c r="Z166" i="20"/>
  <c r="Z169" i="20"/>
  <c r="Y175" i="20"/>
  <c r="AA179" i="20"/>
  <c r="AF181" i="20"/>
  <c r="AC181" i="20"/>
  <c r="Q193" i="20"/>
  <c r="P193" i="20"/>
  <c r="Q203" i="20"/>
  <c r="R207" i="20"/>
  <c r="P209" i="20"/>
  <c r="R213" i="20"/>
  <c r="Q215" i="20"/>
  <c r="AF58" i="21"/>
  <c r="C5" i="21" s="1"/>
  <c r="AD58" i="21"/>
  <c r="AA62" i="21"/>
  <c r="AA80" i="21"/>
  <c r="V100" i="21"/>
  <c r="U100" i="21"/>
  <c r="T100" i="21"/>
  <c r="S100" i="21"/>
  <c r="Y100" i="21"/>
  <c r="T102" i="21"/>
  <c r="T115" i="21"/>
  <c r="V118" i="21"/>
  <c r="U118" i="21"/>
  <c r="T118" i="21"/>
  <c r="S118" i="21"/>
  <c r="Y118" i="21"/>
  <c r="T120" i="21"/>
  <c r="T133" i="21"/>
  <c r="P192" i="21"/>
  <c r="R200" i="21"/>
  <c r="V203" i="21"/>
  <c r="Q203" i="21"/>
  <c r="W203" i="21"/>
  <c r="U203" i="21"/>
  <c r="T203" i="21"/>
  <c r="R203" i="21"/>
  <c r="Z56" i="22"/>
  <c r="AD60" i="22"/>
  <c r="AF60" i="22"/>
  <c r="AC60" i="22"/>
  <c r="Y60" i="22"/>
  <c r="Y79" i="22"/>
  <c r="AF79" i="22"/>
  <c r="AD79" i="22"/>
  <c r="Z79" i="22"/>
  <c r="AD92" i="22"/>
  <c r="W105" i="22"/>
  <c r="Z105" i="22"/>
  <c r="Y105" i="22"/>
  <c r="X105" i="22"/>
  <c r="U105" i="22"/>
  <c r="Y115" i="22"/>
  <c r="T119" i="22"/>
  <c r="Y119" i="22"/>
  <c r="X119" i="22"/>
  <c r="W119" i="22"/>
  <c r="V119" i="22"/>
  <c r="S119" i="22"/>
  <c r="T123" i="22"/>
  <c r="Z137" i="22"/>
  <c r="Z152" i="22"/>
  <c r="AB155" i="22"/>
  <c r="AC159" i="22"/>
  <c r="P207" i="22"/>
  <c r="W230" i="22"/>
  <c r="AF56" i="23"/>
  <c r="Y56" i="23"/>
  <c r="AB56" i="23"/>
  <c r="AD56" i="23"/>
  <c r="I5" i="23" s="1"/>
  <c r="AC56" i="23"/>
  <c r="AA56" i="23"/>
  <c r="Z56" i="23"/>
  <c r="AB84" i="23"/>
  <c r="Y84" i="23"/>
  <c r="AE84" i="23"/>
  <c r="AD84" i="23"/>
  <c r="AA84" i="23"/>
  <c r="AF84" i="23"/>
  <c r="Z84" i="23"/>
  <c r="S134" i="23"/>
  <c r="Y134" i="23"/>
  <c r="X134" i="23"/>
  <c r="W134" i="23"/>
  <c r="Z134" i="23"/>
  <c r="V134" i="23"/>
  <c r="T134" i="23"/>
  <c r="U134" i="23"/>
  <c r="U193" i="23"/>
  <c r="W193" i="23"/>
  <c r="V193" i="23"/>
  <c r="P193" i="23"/>
  <c r="Q193" i="23"/>
  <c r="R193" i="23"/>
  <c r="AF174" i="24"/>
  <c r="AE174" i="24"/>
  <c r="AD174" i="24"/>
  <c r="AC174" i="24"/>
  <c r="AB174" i="24"/>
  <c r="AA174" i="24"/>
  <c r="Y174" i="24"/>
  <c r="Z175" i="25"/>
  <c r="Y175" i="25"/>
  <c r="AF175" i="25"/>
  <c r="AE175" i="25"/>
  <c r="AD175" i="25"/>
  <c r="AC175" i="25"/>
  <c r="AB175" i="25"/>
  <c r="AA175" i="25"/>
  <c r="W200" i="25"/>
  <c r="U200" i="25"/>
  <c r="V200" i="25"/>
  <c r="T200" i="25"/>
  <c r="S200" i="25"/>
  <c r="R200" i="25"/>
  <c r="Q200" i="25"/>
  <c r="P200" i="25"/>
  <c r="AD145" i="21"/>
  <c r="Y145" i="21"/>
  <c r="AF152" i="21"/>
  <c r="AA152" i="21"/>
  <c r="AD163" i="21"/>
  <c r="Y163" i="21"/>
  <c r="AF170" i="21"/>
  <c r="AA170" i="21"/>
  <c r="AD181" i="21"/>
  <c r="Y181" i="21"/>
  <c r="S219" i="21"/>
  <c r="R223" i="21"/>
  <c r="AA53" i="22"/>
  <c r="AE54" i="22"/>
  <c r="AB68" i="22"/>
  <c r="AA72" i="22"/>
  <c r="U99" i="22"/>
  <c r="U117" i="22"/>
  <c r="U135" i="22"/>
  <c r="V138" i="22"/>
  <c r="Y138" i="22"/>
  <c r="AE149" i="22"/>
  <c r="Z149" i="22"/>
  <c r="K17" i="23"/>
  <c r="AC53" i="23"/>
  <c r="AA53" i="23"/>
  <c r="Z53" i="23"/>
  <c r="AB53" i="23"/>
  <c r="Y57" i="23"/>
  <c r="AC57" i="23"/>
  <c r="AA57" i="23"/>
  <c r="Z57" i="23"/>
  <c r="AF57" i="23"/>
  <c r="AE61" i="23"/>
  <c r="AD61" i="23"/>
  <c r="AF61" i="23"/>
  <c r="AC61" i="23"/>
  <c r="AA61" i="23"/>
  <c r="AB72" i="23"/>
  <c r="AF72" i="23"/>
  <c r="AD72" i="23"/>
  <c r="AC72" i="23"/>
  <c r="Y72" i="23"/>
  <c r="AE72" i="23"/>
  <c r="W112" i="23"/>
  <c r="T112" i="23"/>
  <c r="Z112" i="23"/>
  <c r="X112" i="23"/>
  <c r="V112" i="23"/>
  <c r="Y112" i="23"/>
  <c r="U112" i="23"/>
  <c r="S112" i="23"/>
  <c r="Z159" i="24"/>
  <c r="Y159" i="24"/>
  <c r="AF159" i="24"/>
  <c r="AA159" i="24"/>
  <c r="AD159" i="24"/>
  <c r="W213" i="24"/>
  <c r="V213" i="24"/>
  <c r="U213" i="24"/>
  <c r="T213" i="24"/>
  <c r="S213" i="24"/>
  <c r="R213" i="24"/>
  <c r="P213" i="24"/>
  <c r="Y125" i="25"/>
  <c r="X125" i="25"/>
  <c r="W125" i="25"/>
  <c r="V125" i="25"/>
  <c r="U125" i="25"/>
  <c r="T125" i="25"/>
  <c r="Z125" i="25"/>
  <c r="X113" i="26"/>
  <c r="Y113" i="26"/>
  <c r="Z113" i="26"/>
  <c r="W113" i="26"/>
  <c r="V113" i="26"/>
  <c r="U113" i="26"/>
  <c r="T113" i="26"/>
  <c r="S113" i="26"/>
  <c r="W135" i="26"/>
  <c r="T135" i="26"/>
  <c r="Y135" i="26"/>
  <c r="Z135" i="26"/>
  <c r="X135" i="26"/>
  <c r="V135" i="26"/>
  <c r="S135" i="26"/>
  <c r="AA159" i="27"/>
  <c r="Z159" i="27"/>
  <c r="Y159" i="27"/>
  <c r="AF159" i="27"/>
  <c r="AD159" i="27"/>
  <c r="AE159" i="27"/>
  <c r="AC159" i="27"/>
  <c r="AB159" i="27"/>
  <c r="AB63" i="21"/>
  <c r="AB69" i="21"/>
  <c r="AB75" i="21"/>
  <c r="AB81" i="21"/>
  <c r="AB87" i="21"/>
  <c r="Z134" i="21"/>
  <c r="AC145" i="21"/>
  <c r="AD151" i="21"/>
  <c r="Y151" i="21"/>
  <c r="AC152" i="21"/>
  <c r="AF158" i="21"/>
  <c r="AA158" i="21"/>
  <c r="AB159" i="21"/>
  <c r="AC163" i="21"/>
  <c r="AD169" i="21"/>
  <c r="Y169" i="21"/>
  <c r="AC170" i="21"/>
  <c r="AF176" i="21"/>
  <c r="AA176" i="21"/>
  <c r="AB177" i="21"/>
  <c r="AC181" i="21"/>
  <c r="P206" i="21"/>
  <c r="W206" i="21"/>
  <c r="T207" i="21"/>
  <c r="S211" i="21"/>
  <c r="W219" i="21"/>
  <c r="V221" i="21"/>
  <c r="Q221" i="21"/>
  <c r="T222" i="21"/>
  <c r="W223" i="21"/>
  <c r="K14" i="22"/>
  <c r="AF53" i="22"/>
  <c r="AF68" i="22"/>
  <c r="AE70" i="22"/>
  <c r="Z70" i="22"/>
  <c r="AC71" i="22"/>
  <c r="AF72" i="22"/>
  <c r="Y85" i="22"/>
  <c r="AF85" i="22"/>
  <c r="AC86" i="22"/>
  <c r="AB90" i="22"/>
  <c r="Z99" i="22"/>
  <c r="W102" i="22"/>
  <c r="Z117" i="22"/>
  <c r="W120" i="22"/>
  <c r="Z135" i="22"/>
  <c r="W138" i="22"/>
  <c r="AC149" i="22"/>
  <c r="AF178" i="22"/>
  <c r="AC178" i="22"/>
  <c r="AE178" i="22"/>
  <c r="AA178" i="22"/>
  <c r="V193" i="22"/>
  <c r="S193" i="22"/>
  <c r="W193" i="22"/>
  <c r="U193" i="22"/>
  <c r="R193" i="22"/>
  <c r="K11" i="23"/>
  <c r="AF53" i="23"/>
  <c r="AD73" i="23"/>
  <c r="AA73" i="23"/>
  <c r="AE73" i="23"/>
  <c r="AC73" i="23"/>
  <c r="Z73" i="23"/>
  <c r="AE75" i="23"/>
  <c r="AD75" i="23"/>
  <c r="AB75" i="23"/>
  <c r="AA75" i="23"/>
  <c r="AF75" i="23"/>
  <c r="Z75" i="23"/>
  <c r="Y75" i="23"/>
  <c r="Z115" i="23"/>
  <c r="W115" i="23"/>
  <c r="U115" i="23"/>
  <c r="T115" i="23"/>
  <c r="Y115" i="23"/>
  <c r="V115" i="23"/>
  <c r="Z150" i="23"/>
  <c r="AF150" i="23"/>
  <c r="AA150" i="23"/>
  <c r="AE150" i="23"/>
  <c r="AD150" i="23"/>
  <c r="AB150" i="23"/>
  <c r="W194" i="23"/>
  <c r="P194" i="23"/>
  <c r="S194" i="23"/>
  <c r="U194" i="23"/>
  <c r="T194" i="23"/>
  <c r="R194" i="23"/>
  <c r="Q194" i="23"/>
  <c r="V204" i="23"/>
  <c r="S204" i="23"/>
  <c r="W204" i="23"/>
  <c r="P204" i="23"/>
  <c r="T204" i="23"/>
  <c r="AF65" i="24"/>
  <c r="AE65" i="24"/>
  <c r="AB65" i="24"/>
  <c r="AD65" i="24"/>
  <c r="AC65" i="24"/>
  <c r="AA65" i="24"/>
  <c r="Z65" i="24"/>
  <c r="Y65" i="24"/>
  <c r="Z136" i="24"/>
  <c r="Y136" i="24"/>
  <c r="X136" i="24"/>
  <c r="W136" i="24"/>
  <c r="V136" i="24"/>
  <c r="S136" i="24"/>
  <c r="AF181" i="24"/>
  <c r="AE181" i="24"/>
  <c r="AD181" i="24"/>
  <c r="AC181" i="24"/>
  <c r="AB181" i="24"/>
  <c r="Z181" i="24"/>
  <c r="AE165" i="26"/>
  <c r="Y165" i="26"/>
  <c r="AB165" i="26"/>
  <c r="AF165" i="26"/>
  <c r="AD165" i="26"/>
  <c r="AC165" i="26"/>
  <c r="AA165" i="26"/>
  <c r="AF67" i="28"/>
  <c r="AD67" i="28"/>
  <c r="AB67" i="28"/>
  <c r="AC67" i="28"/>
  <c r="Z67" i="28"/>
  <c r="Y67" i="28"/>
  <c r="AE67" i="28"/>
  <c r="AA67" i="28"/>
  <c r="AD63" i="21"/>
  <c r="AD69" i="21"/>
  <c r="AD75" i="21"/>
  <c r="AD81" i="21"/>
  <c r="AD87" i="21"/>
  <c r="AF145" i="21"/>
  <c r="AE152" i="21"/>
  <c r="AE159" i="21"/>
  <c r="AF163" i="21"/>
  <c r="AE170" i="21"/>
  <c r="AE177" i="21"/>
  <c r="AF181" i="21"/>
  <c r="V207" i="21"/>
  <c r="V211" i="21"/>
  <c r="V222" i="21"/>
  <c r="P224" i="21"/>
  <c r="W224" i="21"/>
  <c r="AE58" i="22"/>
  <c r="K5" i="22" s="1"/>
  <c r="Z58" i="22"/>
  <c r="Y73" i="22"/>
  <c r="AF73" i="22"/>
  <c r="AA147" i="22"/>
  <c r="AD147" i="22"/>
  <c r="P208" i="22"/>
  <c r="W208" i="22"/>
  <c r="U208" i="22"/>
  <c r="Q208" i="22"/>
  <c r="AE54" i="23"/>
  <c r="K5" i="23" s="1"/>
  <c r="AC54" i="23"/>
  <c r="AB54" i="23"/>
  <c r="AD54" i="23"/>
  <c r="Z54" i="23"/>
  <c r="Y54" i="23"/>
  <c r="AE87" i="23"/>
  <c r="AF87" i="23"/>
  <c r="AD87" i="23"/>
  <c r="Z87" i="23"/>
  <c r="X108" i="23"/>
  <c r="Y108" i="23"/>
  <c r="V108" i="23"/>
  <c r="U108" i="23"/>
  <c r="T108" i="23"/>
  <c r="W224" i="23"/>
  <c r="T224" i="23"/>
  <c r="S224" i="23"/>
  <c r="R224" i="23"/>
  <c r="Q224" i="23"/>
  <c r="P224" i="23"/>
  <c r="U224" i="23"/>
  <c r="AD66" i="24"/>
  <c r="AF66" i="24"/>
  <c r="AE66" i="24"/>
  <c r="Y66" i="24"/>
  <c r="AC66" i="24"/>
  <c r="AB66" i="24"/>
  <c r="AA66" i="24"/>
  <c r="Z66" i="24"/>
  <c r="U200" i="24"/>
  <c r="T200" i="24"/>
  <c r="S200" i="24"/>
  <c r="R200" i="24"/>
  <c r="Q200" i="24"/>
  <c r="P200" i="24"/>
  <c r="V200" i="24"/>
  <c r="Z108" i="25"/>
  <c r="Y108" i="25"/>
  <c r="X108" i="25"/>
  <c r="W108" i="25"/>
  <c r="V108" i="25"/>
  <c r="S108" i="25"/>
  <c r="T108" i="25"/>
  <c r="Z157" i="25"/>
  <c r="Y157" i="25"/>
  <c r="AF157" i="25"/>
  <c r="AE157" i="25"/>
  <c r="AD157" i="25"/>
  <c r="AC157" i="25"/>
  <c r="AB157" i="25"/>
  <c r="AA157" i="25"/>
  <c r="AF160" i="25"/>
  <c r="AE160" i="25"/>
  <c r="AD160" i="25"/>
  <c r="AC160" i="25"/>
  <c r="AB160" i="25"/>
  <c r="AA160" i="25"/>
  <c r="Z160" i="25"/>
  <c r="Y160" i="25"/>
  <c r="AF146" i="26"/>
  <c r="AC146" i="26"/>
  <c r="AE146" i="26"/>
  <c r="AB146" i="26"/>
  <c r="AD146" i="26"/>
  <c r="AA146" i="26"/>
  <c r="Y146" i="26"/>
  <c r="P211" i="20"/>
  <c r="P217" i="20"/>
  <c r="P223" i="20"/>
  <c r="P229" i="20"/>
  <c r="Y54" i="21"/>
  <c r="Y60" i="21"/>
  <c r="AE63" i="21"/>
  <c r="Y66" i="21"/>
  <c r="AE69" i="21"/>
  <c r="Y72" i="21"/>
  <c r="AE75" i="21"/>
  <c r="Y78" i="21"/>
  <c r="AE81" i="21"/>
  <c r="Y84" i="21"/>
  <c r="AE87" i="21"/>
  <c r="Y90" i="21"/>
  <c r="AA147" i="21"/>
  <c r="AB151" i="21"/>
  <c r="AB158" i="21"/>
  <c r="AF159" i="21"/>
  <c r="Y161" i="21"/>
  <c r="AA165" i="21"/>
  <c r="AB169" i="21"/>
  <c r="AB176" i="21"/>
  <c r="AF177" i="21"/>
  <c r="Y179" i="21"/>
  <c r="AA183" i="21"/>
  <c r="P194" i="21"/>
  <c r="W194" i="21"/>
  <c r="S206" i="21"/>
  <c r="W207" i="21"/>
  <c r="V209" i="21"/>
  <c r="Q209" i="21"/>
  <c r="W211" i="21"/>
  <c r="R217" i="21"/>
  <c r="S221" i="21"/>
  <c r="W222" i="21"/>
  <c r="Q224" i="21"/>
  <c r="Y54" i="22"/>
  <c r="Y58" i="22"/>
  <c r="AB62" i="22"/>
  <c r="AA66" i="22"/>
  <c r="AB70" i="22"/>
  <c r="AF71" i="22"/>
  <c r="Z73" i="22"/>
  <c r="AB85" i="22"/>
  <c r="AF86" i="22"/>
  <c r="AE88" i="22"/>
  <c r="Z88" i="22"/>
  <c r="AF90" i="22"/>
  <c r="Z102" i="22"/>
  <c r="U108" i="22"/>
  <c r="Z120" i="22"/>
  <c r="U126" i="22"/>
  <c r="Y147" i="22"/>
  <c r="AD157" i="22"/>
  <c r="Z157" i="22"/>
  <c r="AD163" i="22"/>
  <c r="Z163" i="22"/>
  <c r="AD169" i="22"/>
  <c r="Z169" i="22"/>
  <c r="AD175" i="22"/>
  <c r="Z175" i="22"/>
  <c r="AB178" i="22"/>
  <c r="T193" i="22"/>
  <c r="T204" i="22"/>
  <c r="Q204" i="22"/>
  <c r="W204" i="22"/>
  <c r="V204" i="22"/>
  <c r="S204" i="22"/>
  <c r="R208" i="22"/>
  <c r="AA54" i="23"/>
  <c r="AC71" i="23"/>
  <c r="AA71" i="23"/>
  <c r="Z71" i="23"/>
  <c r="AF71" i="23"/>
  <c r="AD71" i="23"/>
  <c r="AF73" i="23"/>
  <c r="Y87" i="23"/>
  <c r="S108" i="23"/>
  <c r="U204" i="23"/>
  <c r="V224" i="23"/>
  <c r="U229" i="23"/>
  <c r="W229" i="23"/>
  <c r="V229" i="23"/>
  <c r="P229" i="23"/>
  <c r="T229" i="23"/>
  <c r="S229" i="23"/>
  <c r="Q229" i="23"/>
  <c r="AE59" i="24"/>
  <c r="AB59" i="24"/>
  <c r="AF59" i="24"/>
  <c r="AD59" i="24"/>
  <c r="AC59" i="24"/>
  <c r="AA59" i="24"/>
  <c r="AD70" i="24"/>
  <c r="AC70" i="24"/>
  <c r="Z70" i="24"/>
  <c r="AA70" i="24"/>
  <c r="AB70" i="24"/>
  <c r="AD88" i="24"/>
  <c r="AC88" i="24"/>
  <c r="Z88" i="24"/>
  <c r="AF88" i="24"/>
  <c r="AE88" i="24"/>
  <c r="AB88" i="24"/>
  <c r="AA88" i="24"/>
  <c r="Y88" i="24"/>
  <c r="AE163" i="24"/>
  <c r="AD163" i="24"/>
  <c r="AC163" i="24"/>
  <c r="AB163" i="24"/>
  <c r="AA163" i="24"/>
  <c r="Z163" i="24"/>
  <c r="Y163" i="24"/>
  <c r="AF163" i="24"/>
  <c r="W200" i="24"/>
  <c r="U108" i="25"/>
  <c r="AF154" i="25"/>
  <c r="AE154" i="25"/>
  <c r="AD154" i="25"/>
  <c r="Z154" i="25"/>
  <c r="Y154" i="25"/>
  <c r="AB182" i="25"/>
  <c r="AA182" i="25"/>
  <c r="AF182" i="25"/>
  <c r="AE182" i="25"/>
  <c r="AD182" i="25"/>
  <c r="AC182" i="25"/>
  <c r="Z182" i="25"/>
  <c r="Y182" i="25"/>
  <c r="W224" i="25"/>
  <c r="U224" i="25"/>
  <c r="V224" i="25"/>
  <c r="T224" i="25"/>
  <c r="S224" i="25"/>
  <c r="P224" i="25"/>
  <c r="Z132" i="26"/>
  <c r="S132" i="26"/>
  <c r="Y132" i="26"/>
  <c r="X132" i="26"/>
  <c r="W132" i="26"/>
  <c r="V132" i="26"/>
  <c r="U132" i="26"/>
  <c r="T132" i="26"/>
  <c r="Z146" i="26"/>
  <c r="U204" i="26"/>
  <c r="W204" i="26"/>
  <c r="T204" i="26"/>
  <c r="S204" i="26"/>
  <c r="Q204" i="26"/>
  <c r="V204" i="26"/>
  <c r="R204" i="26"/>
  <c r="P204" i="26"/>
  <c r="W223" i="26"/>
  <c r="V223" i="26"/>
  <c r="T223" i="26"/>
  <c r="P223" i="26"/>
  <c r="U223" i="26"/>
  <c r="S223" i="26"/>
  <c r="R223" i="26"/>
  <c r="Q223" i="26"/>
  <c r="AE63" i="27"/>
  <c r="AC63" i="27"/>
  <c r="AA63" i="27"/>
  <c r="Z63" i="27"/>
  <c r="AF63" i="27"/>
  <c r="AB63" i="27"/>
  <c r="Y63" i="27"/>
  <c r="AD63" i="27"/>
  <c r="AF146" i="21"/>
  <c r="AA146" i="21"/>
  <c r="AD157" i="21"/>
  <c r="Y157" i="21"/>
  <c r="AA161" i="21"/>
  <c r="AF164" i="21"/>
  <c r="AA164" i="21"/>
  <c r="AD175" i="21"/>
  <c r="Y175" i="21"/>
  <c r="AA179" i="21"/>
  <c r="AF182" i="21"/>
  <c r="AA182" i="21"/>
  <c r="R224" i="21"/>
  <c r="Z54" i="22"/>
  <c r="G5" i="22" s="1"/>
  <c r="AA58" i="22"/>
  <c r="Y61" i="22"/>
  <c r="AF61" i="22"/>
  <c r="AA73" i="22"/>
  <c r="Z147" i="22"/>
  <c r="AA153" i="22"/>
  <c r="AD153" i="22"/>
  <c r="AD178" i="22"/>
  <c r="W201" i="22"/>
  <c r="U201" i="22"/>
  <c r="Q201" i="22"/>
  <c r="U206" i="22"/>
  <c r="S206" i="22"/>
  <c r="Q206" i="22"/>
  <c r="P206" i="22"/>
  <c r="W206" i="22"/>
  <c r="S208" i="22"/>
  <c r="T222" i="22"/>
  <c r="R222" i="22"/>
  <c r="Q222" i="22"/>
  <c r="S222" i="22"/>
  <c r="P226" i="22"/>
  <c r="T226" i="22"/>
  <c r="R226" i="22"/>
  <c r="Q226" i="22"/>
  <c r="W226" i="22"/>
  <c r="AF54" i="23"/>
  <c r="AF68" i="23"/>
  <c r="AD68" i="23"/>
  <c r="Z68" i="23"/>
  <c r="Y71" i="23"/>
  <c r="AD79" i="23"/>
  <c r="AA79" i="23"/>
  <c r="AF79" i="23"/>
  <c r="AC79" i="23"/>
  <c r="AB79" i="23"/>
  <c r="AE79" i="23"/>
  <c r="AA87" i="23"/>
  <c r="W108" i="23"/>
  <c r="AB175" i="23"/>
  <c r="Y175" i="23"/>
  <c r="AF175" i="23"/>
  <c r="Z175" i="23"/>
  <c r="AD175" i="23"/>
  <c r="AF177" i="23"/>
  <c r="AC177" i="23"/>
  <c r="AE177" i="23"/>
  <c r="AB177" i="23"/>
  <c r="AA177" i="23"/>
  <c r="Z177" i="23"/>
  <c r="AD177" i="23"/>
  <c r="U199" i="23"/>
  <c r="V199" i="23"/>
  <c r="S199" i="23"/>
  <c r="R199" i="23"/>
  <c r="Q199" i="23"/>
  <c r="W199" i="23"/>
  <c r="P199" i="23"/>
  <c r="R229" i="23"/>
  <c r="Y59" i="24"/>
  <c r="Y70" i="24"/>
  <c r="Z121" i="25"/>
  <c r="Y121" i="25"/>
  <c r="X121" i="25"/>
  <c r="W121" i="25"/>
  <c r="V121" i="25"/>
  <c r="U121" i="25"/>
  <c r="T121" i="25"/>
  <c r="S121" i="25"/>
  <c r="AA154" i="25"/>
  <c r="AB158" i="25"/>
  <c r="AA158" i="25"/>
  <c r="AF158" i="25"/>
  <c r="AE158" i="25"/>
  <c r="AD158" i="25"/>
  <c r="AC158" i="25"/>
  <c r="Z169" i="25"/>
  <c r="Y169" i="25"/>
  <c r="AF169" i="25"/>
  <c r="AA169" i="25"/>
  <c r="AE169" i="25"/>
  <c r="AC169" i="25"/>
  <c r="Q224" i="25"/>
  <c r="W99" i="26"/>
  <c r="T99" i="26"/>
  <c r="Z99" i="26"/>
  <c r="Y99" i="26"/>
  <c r="X99" i="26"/>
  <c r="V99" i="26"/>
  <c r="U99" i="26"/>
  <c r="S99" i="26"/>
  <c r="Y124" i="26"/>
  <c r="V124" i="26"/>
  <c r="Z124" i="26"/>
  <c r="X124" i="26"/>
  <c r="W124" i="26"/>
  <c r="U124" i="26"/>
  <c r="T124" i="26"/>
  <c r="S124" i="26"/>
  <c r="T202" i="26"/>
  <c r="Q202" i="26"/>
  <c r="W202" i="26"/>
  <c r="R202" i="26"/>
  <c r="V202" i="26"/>
  <c r="U202" i="26"/>
  <c r="S202" i="26"/>
  <c r="V197" i="21"/>
  <c r="Q197" i="21"/>
  <c r="P212" i="21"/>
  <c r="W212" i="21"/>
  <c r="V227" i="21"/>
  <c r="Q227" i="21"/>
  <c r="AE76" i="22"/>
  <c r="Z76" i="22"/>
  <c r="Y91" i="22"/>
  <c r="AF91" i="22"/>
  <c r="X103" i="22"/>
  <c r="S103" i="22"/>
  <c r="Z110" i="22"/>
  <c r="U110" i="22"/>
  <c r="X121" i="22"/>
  <c r="S121" i="22"/>
  <c r="Z128" i="22"/>
  <c r="U128" i="22"/>
  <c r="V199" i="22"/>
  <c r="S199" i="22"/>
  <c r="T199" i="22"/>
  <c r="Q199" i="22"/>
  <c r="P199" i="22"/>
  <c r="T210" i="22"/>
  <c r="Q210" i="22"/>
  <c r="U210" i="22"/>
  <c r="R210" i="22"/>
  <c r="P210" i="22"/>
  <c r="P214" i="22"/>
  <c r="V214" i="22"/>
  <c r="T214" i="22"/>
  <c r="S214" i="22"/>
  <c r="Q214" i="22"/>
  <c r="K14" i="23"/>
  <c r="AB157" i="23"/>
  <c r="Y157" i="23"/>
  <c r="AF157" i="23"/>
  <c r="Z157" i="23"/>
  <c r="AD157" i="23"/>
  <c r="AF159" i="23"/>
  <c r="AC159" i="23"/>
  <c r="AE159" i="23"/>
  <c r="AB159" i="23"/>
  <c r="AA159" i="23"/>
  <c r="Z159" i="23"/>
  <c r="AD159" i="23"/>
  <c r="T197" i="23"/>
  <c r="Q197" i="23"/>
  <c r="W197" i="23"/>
  <c r="P197" i="23"/>
  <c r="V197" i="23"/>
  <c r="S197" i="23"/>
  <c r="U217" i="23"/>
  <c r="V217" i="23"/>
  <c r="T217" i="23"/>
  <c r="S217" i="23"/>
  <c r="R217" i="23"/>
  <c r="Q217" i="23"/>
  <c r="P225" i="23"/>
  <c r="W225" i="23"/>
  <c r="V225" i="23"/>
  <c r="U225" i="23"/>
  <c r="T225" i="23"/>
  <c r="S225" i="23"/>
  <c r="Q225" i="23"/>
  <c r="AE145" i="24"/>
  <c r="AD145" i="24"/>
  <c r="Z145" i="24"/>
  <c r="AC145" i="24"/>
  <c r="AB145" i="24"/>
  <c r="AA145" i="24"/>
  <c r="Y145" i="24"/>
  <c r="W201" i="24"/>
  <c r="V201" i="24"/>
  <c r="U201" i="24"/>
  <c r="T201" i="24"/>
  <c r="S201" i="24"/>
  <c r="R201" i="24"/>
  <c r="Q201" i="24"/>
  <c r="P201" i="24"/>
  <c r="AF62" i="25"/>
  <c r="AE62" i="25"/>
  <c r="AD62" i="25"/>
  <c r="AC62" i="25"/>
  <c r="AB62" i="25"/>
  <c r="AA62" i="25"/>
  <c r="Y62" i="25"/>
  <c r="Z103" i="25"/>
  <c r="Y103" i="25"/>
  <c r="X103" i="25"/>
  <c r="T103" i="25"/>
  <c r="W103" i="25"/>
  <c r="V103" i="25"/>
  <c r="S103" i="25"/>
  <c r="AF172" i="25"/>
  <c r="AE172" i="25"/>
  <c r="AD172" i="25"/>
  <c r="AC172" i="25"/>
  <c r="AB172" i="25"/>
  <c r="AA172" i="25"/>
  <c r="Z172" i="25"/>
  <c r="Y172" i="25"/>
  <c r="AF55" i="26"/>
  <c r="AD55" i="26"/>
  <c r="AE55" i="26"/>
  <c r="AC55" i="26"/>
  <c r="AB55" i="26"/>
  <c r="AA55" i="26"/>
  <c r="Z55" i="26"/>
  <c r="Y55" i="26"/>
  <c r="Y112" i="26"/>
  <c r="V112" i="26"/>
  <c r="X112" i="26"/>
  <c r="W112" i="26"/>
  <c r="T112" i="26"/>
  <c r="S112" i="26"/>
  <c r="Z112" i="26"/>
  <c r="U195" i="22"/>
  <c r="U202" i="22"/>
  <c r="U213" i="22"/>
  <c r="T219" i="22"/>
  <c r="V224" i="22"/>
  <c r="U224" i="22"/>
  <c r="T228" i="22"/>
  <c r="R228" i="22"/>
  <c r="Q228" i="22"/>
  <c r="K13" i="23"/>
  <c r="AE55" i="23"/>
  <c r="AD55" i="23"/>
  <c r="AE63" i="23"/>
  <c r="AC65" i="23"/>
  <c r="AA65" i="23"/>
  <c r="Z65" i="23"/>
  <c r="AD69" i="23"/>
  <c r="AB90" i="23"/>
  <c r="Y90" i="23"/>
  <c r="AF90" i="23"/>
  <c r="AD90" i="23"/>
  <c r="AC90" i="23"/>
  <c r="X102" i="23"/>
  <c r="Z102" i="23"/>
  <c r="X120" i="23"/>
  <c r="Z120" i="23"/>
  <c r="AE184" i="23"/>
  <c r="AD184" i="23"/>
  <c r="AB184" i="23"/>
  <c r="AA184" i="23"/>
  <c r="Z184" i="23"/>
  <c r="T215" i="23"/>
  <c r="Q215" i="23"/>
  <c r="W215" i="23"/>
  <c r="P215" i="23"/>
  <c r="V228" i="23"/>
  <c r="S228" i="23"/>
  <c r="W228" i="23"/>
  <c r="U228" i="23"/>
  <c r="T228" i="23"/>
  <c r="R228" i="23"/>
  <c r="Q228" i="23"/>
  <c r="K14" i="24"/>
  <c r="AF57" i="25"/>
  <c r="AE57" i="25"/>
  <c r="AD57" i="25"/>
  <c r="AC57" i="25"/>
  <c r="AB57" i="25"/>
  <c r="AD85" i="25"/>
  <c r="AC85" i="25"/>
  <c r="AB85" i="25"/>
  <c r="AA85" i="25"/>
  <c r="Z85" i="25"/>
  <c r="Y85" i="25"/>
  <c r="AD147" i="25"/>
  <c r="AC147" i="25"/>
  <c r="AF147" i="25"/>
  <c r="AE147" i="25"/>
  <c r="AB147" i="25"/>
  <c r="AA147" i="25"/>
  <c r="Z147" i="25"/>
  <c r="AB65" i="26"/>
  <c r="Y65" i="26"/>
  <c r="AE65" i="26"/>
  <c r="AD65" i="26"/>
  <c r="AA65" i="26"/>
  <c r="AF65" i="26"/>
  <c r="W229" i="26"/>
  <c r="U229" i="26"/>
  <c r="T229" i="26"/>
  <c r="R229" i="26"/>
  <c r="V229" i="26"/>
  <c r="S229" i="26"/>
  <c r="Q229" i="26"/>
  <c r="P229" i="26"/>
  <c r="AF157" i="27"/>
  <c r="AD157" i="27"/>
  <c r="AC157" i="27"/>
  <c r="AB157" i="27"/>
  <c r="AA157" i="27"/>
  <c r="Y157" i="27"/>
  <c r="AE157" i="27"/>
  <c r="Z157" i="27"/>
  <c r="AF179" i="22"/>
  <c r="W194" i="22"/>
  <c r="W212" i="22"/>
  <c r="V217" i="22"/>
  <c r="T217" i="22"/>
  <c r="S217" i="22"/>
  <c r="S224" i="22"/>
  <c r="V228" i="22"/>
  <c r="AB55" i="23"/>
  <c r="AE62" i="23"/>
  <c r="AE65" i="23"/>
  <c r="AF77" i="23"/>
  <c r="V102" i="23"/>
  <c r="S104" i="23"/>
  <c r="W104" i="23"/>
  <c r="U104" i="23"/>
  <c r="T104" i="23"/>
  <c r="Z109" i="23"/>
  <c r="Y109" i="23"/>
  <c r="X109" i="23"/>
  <c r="V120" i="23"/>
  <c r="S122" i="23"/>
  <c r="W122" i="23"/>
  <c r="U122" i="23"/>
  <c r="T122" i="23"/>
  <c r="Z127" i="23"/>
  <c r="Y127" i="23"/>
  <c r="X127" i="23"/>
  <c r="W127" i="23"/>
  <c r="W130" i="23"/>
  <c r="T130" i="23"/>
  <c r="Z130" i="23"/>
  <c r="X130" i="23"/>
  <c r="V130" i="23"/>
  <c r="U130" i="23"/>
  <c r="AD152" i="23"/>
  <c r="AA152" i="23"/>
  <c r="AF152" i="23"/>
  <c r="AC152" i="23"/>
  <c r="AB152" i="23"/>
  <c r="Z152" i="23"/>
  <c r="AD170" i="23"/>
  <c r="AA170" i="23"/>
  <c r="AF170" i="23"/>
  <c r="AC170" i="23"/>
  <c r="AB170" i="23"/>
  <c r="Z170" i="23"/>
  <c r="V215" i="23"/>
  <c r="AD161" i="24"/>
  <c r="AC161" i="24"/>
  <c r="AA161" i="24"/>
  <c r="Z161" i="24"/>
  <c r="AF161" i="24"/>
  <c r="AE161" i="24"/>
  <c r="AB161" i="24"/>
  <c r="Y161" i="24"/>
  <c r="AD167" i="24"/>
  <c r="AC167" i="24"/>
  <c r="AB167" i="24"/>
  <c r="AA167" i="24"/>
  <c r="Z167" i="24"/>
  <c r="AF167" i="24"/>
  <c r="AE179" i="24"/>
  <c r="AD179" i="24"/>
  <c r="AC179" i="24"/>
  <c r="AB179" i="24"/>
  <c r="AA179" i="24"/>
  <c r="Z179" i="24"/>
  <c r="AF179" i="24"/>
  <c r="Y179" i="24"/>
  <c r="U206" i="24"/>
  <c r="T206" i="24"/>
  <c r="S206" i="24"/>
  <c r="R206" i="24"/>
  <c r="Q206" i="24"/>
  <c r="P206" i="24"/>
  <c r="W206" i="24"/>
  <c r="AF75" i="25"/>
  <c r="AE75" i="25"/>
  <c r="AD75" i="25"/>
  <c r="AC75" i="25"/>
  <c r="AB75" i="25"/>
  <c r="V193" i="25"/>
  <c r="U193" i="25"/>
  <c r="W193" i="25"/>
  <c r="T193" i="25"/>
  <c r="S193" i="25"/>
  <c r="R193" i="25"/>
  <c r="P193" i="25"/>
  <c r="X137" i="26"/>
  <c r="Y137" i="26"/>
  <c r="V137" i="26"/>
  <c r="U137" i="26"/>
  <c r="S137" i="26"/>
  <c r="Z137" i="26"/>
  <c r="W137" i="26"/>
  <c r="T137" i="26"/>
  <c r="V197" i="26"/>
  <c r="S197" i="26"/>
  <c r="U197" i="26"/>
  <c r="T197" i="26"/>
  <c r="Q197" i="26"/>
  <c r="W197" i="26"/>
  <c r="R197" i="26"/>
  <c r="W219" i="27"/>
  <c r="U219" i="27"/>
  <c r="S219" i="27"/>
  <c r="Q219" i="27"/>
  <c r="P219" i="27"/>
  <c r="V219" i="27"/>
  <c r="T219" i="27"/>
  <c r="R219" i="27"/>
  <c r="AE60" i="23"/>
  <c r="AC60" i="23"/>
  <c r="AB60" i="23"/>
  <c r="AF80" i="23"/>
  <c r="AC80" i="23"/>
  <c r="AB145" i="23"/>
  <c r="Y145" i="23"/>
  <c r="AF145" i="23"/>
  <c r="AD145" i="23"/>
  <c r="AC145" i="23"/>
  <c r="AA145" i="23"/>
  <c r="AE160" i="23"/>
  <c r="AF160" i="23"/>
  <c r="AD160" i="23"/>
  <c r="Y160" i="23"/>
  <c r="AB163" i="23"/>
  <c r="Y163" i="23"/>
  <c r="AF163" i="23"/>
  <c r="AD163" i="23"/>
  <c r="AC163" i="23"/>
  <c r="AA163" i="23"/>
  <c r="AE178" i="23"/>
  <c r="AF178" i="23"/>
  <c r="AD178" i="23"/>
  <c r="Y178" i="23"/>
  <c r="V210" i="23"/>
  <c r="S210" i="23"/>
  <c r="W210" i="23"/>
  <c r="U210" i="23"/>
  <c r="T210" i="23"/>
  <c r="R210" i="23"/>
  <c r="Q210" i="23"/>
  <c r="T221" i="23"/>
  <c r="Q221" i="23"/>
  <c r="W221" i="23"/>
  <c r="V221" i="23"/>
  <c r="U221" i="23"/>
  <c r="S221" i="23"/>
  <c r="R221" i="23"/>
  <c r="AD78" i="24"/>
  <c r="AF78" i="24"/>
  <c r="AE78" i="24"/>
  <c r="AC78" i="24"/>
  <c r="AB78" i="24"/>
  <c r="AF162" i="24"/>
  <c r="AE162" i="24"/>
  <c r="AC162" i="24"/>
  <c r="AB162" i="24"/>
  <c r="Z162" i="24"/>
  <c r="W195" i="24"/>
  <c r="V195" i="24"/>
  <c r="U195" i="24"/>
  <c r="T195" i="24"/>
  <c r="S195" i="24"/>
  <c r="R195" i="24"/>
  <c r="P195" i="24"/>
  <c r="U218" i="24"/>
  <c r="T218" i="24"/>
  <c r="S218" i="24"/>
  <c r="R218" i="24"/>
  <c r="Q218" i="24"/>
  <c r="P218" i="24"/>
  <c r="V218" i="24"/>
  <c r="Z115" i="25"/>
  <c r="Y115" i="25"/>
  <c r="X115" i="25"/>
  <c r="T115" i="25"/>
  <c r="Z120" i="25"/>
  <c r="Y120" i="25"/>
  <c r="X120" i="25"/>
  <c r="W120" i="25"/>
  <c r="V120" i="25"/>
  <c r="S120" i="25"/>
  <c r="W218" i="25"/>
  <c r="U218" i="25"/>
  <c r="V218" i="25"/>
  <c r="T218" i="25"/>
  <c r="S218" i="25"/>
  <c r="R218" i="25"/>
  <c r="Q218" i="25"/>
  <c r="P218" i="25"/>
  <c r="X101" i="26"/>
  <c r="W101" i="26"/>
  <c r="V101" i="26"/>
  <c r="T101" i="26"/>
  <c r="Z101" i="26"/>
  <c r="Y101" i="26"/>
  <c r="U101" i="26"/>
  <c r="S101" i="26"/>
  <c r="Y66" i="27"/>
  <c r="AF66" i="27"/>
  <c r="AD66" i="27"/>
  <c r="AC66" i="27"/>
  <c r="AA66" i="27"/>
  <c r="AE66" i="27"/>
  <c r="AB66" i="27"/>
  <c r="Z66" i="27"/>
  <c r="V138" i="27"/>
  <c r="U138" i="27"/>
  <c r="Y138" i="27"/>
  <c r="X138" i="27"/>
  <c r="W138" i="27"/>
  <c r="T138" i="27"/>
  <c r="S138" i="27"/>
  <c r="P195" i="22"/>
  <c r="P213" i="22"/>
  <c r="V229" i="22"/>
  <c r="T229" i="22"/>
  <c r="S229" i="22"/>
  <c r="Y60" i="23"/>
  <c r="Z63" i="23"/>
  <c r="AE66" i="23"/>
  <c r="AC66" i="23"/>
  <c r="AB66" i="23"/>
  <c r="Y80" i="23"/>
  <c r="Y101" i="23"/>
  <c r="V101" i="23"/>
  <c r="Z101" i="23"/>
  <c r="W101" i="23"/>
  <c r="U101" i="23"/>
  <c r="W106" i="23"/>
  <c r="T106" i="23"/>
  <c r="Y119" i="23"/>
  <c r="V119" i="23"/>
  <c r="Z119" i="23"/>
  <c r="W119" i="23"/>
  <c r="U119" i="23"/>
  <c r="W124" i="23"/>
  <c r="T124" i="23"/>
  <c r="Z145" i="23"/>
  <c r="Z160" i="23"/>
  <c r="Z163" i="23"/>
  <c r="Z178" i="23"/>
  <c r="AB181" i="23"/>
  <c r="Y181" i="23"/>
  <c r="AF181" i="23"/>
  <c r="AD181" i="23"/>
  <c r="AC181" i="23"/>
  <c r="AA181" i="23"/>
  <c r="V192" i="23"/>
  <c r="S192" i="23"/>
  <c r="W192" i="23"/>
  <c r="T192" i="23"/>
  <c r="R192" i="23"/>
  <c r="Q192" i="23"/>
  <c r="P210" i="23"/>
  <c r="P221" i="23"/>
  <c r="Y78" i="24"/>
  <c r="Z106" i="24"/>
  <c r="Y106" i="24"/>
  <c r="W106" i="24"/>
  <c r="V106" i="24"/>
  <c r="U106" i="24"/>
  <c r="T106" i="24"/>
  <c r="S106" i="24"/>
  <c r="Y162" i="24"/>
  <c r="Q195" i="24"/>
  <c r="W218" i="24"/>
  <c r="Z109" i="25"/>
  <c r="Y109" i="25"/>
  <c r="X109" i="25"/>
  <c r="W109" i="25"/>
  <c r="V109" i="25"/>
  <c r="U109" i="25"/>
  <c r="T109" i="25"/>
  <c r="S109" i="25"/>
  <c r="S115" i="25"/>
  <c r="T120" i="25"/>
  <c r="AF179" i="25"/>
  <c r="AE179" i="25"/>
  <c r="AD179" i="25"/>
  <c r="Y179" i="25"/>
  <c r="W230" i="25"/>
  <c r="U230" i="25"/>
  <c r="V230" i="25"/>
  <c r="T230" i="25"/>
  <c r="Q230" i="25"/>
  <c r="W123" i="26"/>
  <c r="T123" i="26"/>
  <c r="Y123" i="26"/>
  <c r="X123" i="26"/>
  <c r="U123" i="26"/>
  <c r="V123" i="26"/>
  <c r="AE64" i="27"/>
  <c r="AC64" i="27"/>
  <c r="AB64" i="27"/>
  <c r="AF64" i="27"/>
  <c r="Y64" i="27"/>
  <c r="AD64" i="27"/>
  <c r="AA64" i="27"/>
  <c r="Z138" i="27"/>
  <c r="Z103" i="23"/>
  <c r="S103" i="23"/>
  <c r="S116" i="23"/>
  <c r="Y116" i="23"/>
  <c r="X116" i="23"/>
  <c r="Z121" i="23"/>
  <c r="S121" i="23"/>
  <c r="Y131" i="23"/>
  <c r="V131" i="23"/>
  <c r="Z131" i="23"/>
  <c r="S131" i="23"/>
  <c r="AF153" i="23"/>
  <c r="AC153" i="23"/>
  <c r="AE153" i="23"/>
  <c r="Y153" i="23"/>
  <c r="Z156" i="23"/>
  <c r="AF156" i="23"/>
  <c r="AD156" i="23"/>
  <c r="AC156" i="23"/>
  <c r="AB156" i="23"/>
  <c r="AF171" i="23"/>
  <c r="AC171" i="23"/>
  <c r="AE171" i="23"/>
  <c r="Y171" i="23"/>
  <c r="Z174" i="23"/>
  <c r="AF174" i="23"/>
  <c r="AD174" i="23"/>
  <c r="AC174" i="23"/>
  <c r="AB174" i="23"/>
  <c r="P207" i="23"/>
  <c r="V207" i="23"/>
  <c r="U207" i="23"/>
  <c r="T207" i="23"/>
  <c r="Z62" i="24"/>
  <c r="Y62" i="24"/>
  <c r="AE62" i="24"/>
  <c r="AD62" i="24"/>
  <c r="AC62" i="24"/>
  <c r="AB62" i="24"/>
  <c r="AA62" i="24"/>
  <c r="W115" i="24"/>
  <c r="V115" i="24"/>
  <c r="T115" i="24"/>
  <c r="S115" i="24"/>
  <c r="Z115" i="24"/>
  <c r="Y115" i="24"/>
  <c r="X115" i="24"/>
  <c r="Z118" i="24"/>
  <c r="Y118" i="24"/>
  <c r="T118" i="24"/>
  <c r="Z153" i="24"/>
  <c r="Y153" i="24"/>
  <c r="AF153" i="24"/>
  <c r="AE153" i="24"/>
  <c r="AD153" i="24"/>
  <c r="U224" i="24"/>
  <c r="T224" i="24"/>
  <c r="S224" i="24"/>
  <c r="R224" i="24"/>
  <c r="Q224" i="24"/>
  <c r="P224" i="24"/>
  <c r="W224" i="24"/>
  <c r="AD67" i="25"/>
  <c r="AC67" i="25"/>
  <c r="AB67" i="25"/>
  <c r="AA67" i="25"/>
  <c r="Z67" i="25"/>
  <c r="Y67" i="25"/>
  <c r="Y101" i="25"/>
  <c r="X101" i="25"/>
  <c r="W101" i="25"/>
  <c r="V101" i="25"/>
  <c r="U101" i="25"/>
  <c r="T101" i="25"/>
  <c r="Y132" i="25"/>
  <c r="X132" i="25"/>
  <c r="Z132" i="25"/>
  <c r="W132" i="25"/>
  <c r="T132" i="25"/>
  <c r="AD183" i="25"/>
  <c r="AC183" i="25"/>
  <c r="AF183" i="25"/>
  <c r="AE183" i="25"/>
  <c r="AB183" i="25"/>
  <c r="Z88" i="26"/>
  <c r="AF88" i="26"/>
  <c r="AE88" i="26"/>
  <c r="AD88" i="26"/>
  <c r="AC88" i="26"/>
  <c r="AB88" i="26"/>
  <c r="AA88" i="26"/>
  <c r="AD183" i="22"/>
  <c r="AA183" i="22"/>
  <c r="R195" i="22"/>
  <c r="T198" i="22"/>
  <c r="Q198" i="22"/>
  <c r="R202" i="22"/>
  <c r="V205" i="22"/>
  <c r="S205" i="22"/>
  <c r="R213" i="22"/>
  <c r="T216" i="22"/>
  <c r="R216" i="22"/>
  <c r="Q216" i="22"/>
  <c r="Q219" i="22"/>
  <c r="Q229" i="22"/>
  <c r="AA60" i="23"/>
  <c r="AB63" i="23"/>
  <c r="Z66" i="23"/>
  <c r="AA69" i="23"/>
  <c r="AA80" i="23"/>
  <c r="T101" i="23"/>
  <c r="T103" i="23"/>
  <c r="U106" i="23"/>
  <c r="T116" i="23"/>
  <c r="T119" i="23"/>
  <c r="T121" i="23"/>
  <c r="U124" i="23"/>
  <c r="T131" i="23"/>
  <c r="Z153" i="23"/>
  <c r="Y156" i="23"/>
  <c r="AB160" i="23"/>
  <c r="Z171" i="23"/>
  <c r="Y174" i="23"/>
  <c r="AB178" i="23"/>
  <c r="AE181" i="23"/>
  <c r="U192" i="23"/>
  <c r="T203" i="23"/>
  <c r="Q203" i="23"/>
  <c r="W203" i="23"/>
  <c r="U203" i="23"/>
  <c r="S203" i="23"/>
  <c r="R203" i="23"/>
  <c r="Q207" i="23"/>
  <c r="U211" i="23"/>
  <c r="W211" i="23"/>
  <c r="V211" i="23"/>
  <c r="P211" i="23"/>
  <c r="V222" i="23"/>
  <c r="S222" i="23"/>
  <c r="W222" i="23"/>
  <c r="P222" i="23"/>
  <c r="AF55" i="24"/>
  <c r="AD55" i="24"/>
  <c r="AC55" i="24"/>
  <c r="AB55" i="24"/>
  <c r="AA55" i="24"/>
  <c r="Z55" i="24"/>
  <c r="AF62" i="24"/>
  <c r="AA78" i="24"/>
  <c r="Y104" i="24"/>
  <c r="X104" i="24"/>
  <c r="V104" i="24"/>
  <c r="U104" i="24"/>
  <c r="Z104" i="24"/>
  <c r="W104" i="24"/>
  <c r="T104" i="24"/>
  <c r="Z112" i="24"/>
  <c r="Y112" i="24"/>
  <c r="X112" i="24"/>
  <c r="W112" i="24"/>
  <c r="V112" i="24"/>
  <c r="U115" i="24"/>
  <c r="S118" i="24"/>
  <c r="Z130" i="24"/>
  <c r="Y130" i="24"/>
  <c r="W130" i="24"/>
  <c r="V130" i="24"/>
  <c r="U130" i="24"/>
  <c r="T130" i="24"/>
  <c r="S130" i="24"/>
  <c r="Z147" i="24"/>
  <c r="Y147" i="24"/>
  <c r="AF147" i="24"/>
  <c r="AE147" i="24"/>
  <c r="AD147" i="24"/>
  <c r="AC147" i="24"/>
  <c r="AB147" i="24"/>
  <c r="AA153" i="24"/>
  <c r="AD162" i="24"/>
  <c r="W196" i="24"/>
  <c r="V196" i="24"/>
  <c r="U196" i="24"/>
  <c r="T196" i="24"/>
  <c r="S196" i="24"/>
  <c r="R196" i="24"/>
  <c r="Q196" i="24"/>
  <c r="W219" i="24"/>
  <c r="V219" i="24"/>
  <c r="U219" i="24"/>
  <c r="T219" i="24"/>
  <c r="S219" i="24"/>
  <c r="R219" i="24"/>
  <c r="Q219" i="24"/>
  <c r="V224" i="24"/>
  <c r="AE67" i="25"/>
  <c r="S101" i="25"/>
  <c r="V115" i="25"/>
  <c r="Z127" i="25"/>
  <c r="Y127" i="25"/>
  <c r="X127" i="25"/>
  <c r="T127" i="25"/>
  <c r="S132" i="25"/>
  <c r="AE149" i="25"/>
  <c r="AD149" i="25"/>
  <c r="AC149" i="25"/>
  <c r="AB149" i="25"/>
  <c r="AA149" i="25"/>
  <c r="Z149" i="25"/>
  <c r="AF149" i="25"/>
  <c r="Y149" i="25"/>
  <c r="AA179" i="25"/>
  <c r="Y183" i="25"/>
  <c r="R230" i="25"/>
  <c r="Y88" i="26"/>
  <c r="Z123" i="26"/>
  <c r="Z149" i="26"/>
  <c r="AE149" i="26"/>
  <c r="AC149" i="26"/>
  <c r="AB149" i="26"/>
  <c r="Y149" i="26"/>
  <c r="AF149" i="26"/>
  <c r="AA149" i="26"/>
  <c r="AB180" i="26"/>
  <c r="Y180" i="26"/>
  <c r="Z180" i="26"/>
  <c r="AD180" i="26"/>
  <c r="AF180" i="26"/>
  <c r="AE180" i="26"/>
  <c r="AC180" i="26"/>
  <c r="AA180" i="26"/>
  <c r="P206" i="26"/>
  <c r="Q206" i="26"/>
  <c r="T206" i="26"/>
  <c r="W206" i="26"/>
  <c r="V206" i="26"/>
  <c r="U206" i="26"/>
  <c r="V132" i="27"/>
  <c r="U132" i="27"/>
  <c r="Z132" i="27"/>
  <c r="X132" i="27"/>
  <c r="T132" i="27"/>
  <c r="S132" i="27"/>
  <c r="Y132" i="27"/>
  <c r="W132" i="27"/>
  <c r="W195" i="23"/>
  <c r="S212" i="23"/>
  <c r="W213" i="23"/>
  <c r="S230" i="23"/>
  <c r="AD82" i="24"/>
  <c r="AC82" i="24"/>
  <c r="Z82" i="24"/>
  <c r="Z99" i="24"/>
  <c r="X99" i="24"/>
  <c r="W99" i="24"/>
  <c r="Y110" i="24"/>
  <c r="X110" i="24"/>
  <c r="V110" i="24"/>
  <c r="U110" i="24"/>
  <c r="W121" i="24"/>
  <c r="V121" i="24"/>
  <c r="T121" i="24"/>
  <c r="S121" i="24"/>
  <c r="Z123" i="24"/>
  <c r="X123" i="24"/>
  <c r="W123" i="24"/>
  <c r="Y134" i="24"/>
  <c r="X134" i="24"/>
  <c r="V134" i="24"/>
  <c r="U134" i="24"/>
  <c r="AF156" i="24"/>
  <c r="AE156" i="24"/>
  <c r="AC156" i="24"/>
  <c r="AB156" i="24"/>
  <c r="AF169" i="24"/>
  <c r="AE169" i="24"/>
  <c r="AD169" i="24"/>
  <c r="AB146" i="25"/>
  <c r="AA146" i="25"/>
  <c r="AF146" i="25"/>
  <c r="AE146" i="25"/>
  <c r="AD146" i="25"/>
  <c r="AC146" i="25"/>
  <c r="Z146" i="25"/>
  <c r="AD171" i="25"/>
  <c r="AC171" i="25"/>
  <c r="AF171" i="25"/>
  <c r="AE171" i="25"/>
  <c r="AB171" i="25"/>
  <c r="AA171" i="25"/>
  <c r="Z171" i="25"/>
  <c r="Z70" i="26"/>
  <c r="AF70" i="26"/>
  <c r="AE70" i="26"/>
  <c r="AD70" i="26"/>
  <c r="AC70" i="26"/>
  <c r="S109" i="26"/>
  <c r="Z109" i="26"/>
  <c r="Y109" i="26"/>
  <c r="W109" i="26"/>
  <c r="AE89" i="27"/>
  <c r="AD89" i="27"/>
  <c r="AF89" i="27"/>
  <c r="Z89" i="27"/>
  <c r="AC89" i="27"/>
  <c r="Z68" i="24"/>
  <c r="Y68" i="24"/>
  <c r="AF71" i="24"/>
  <c r="AE71" i="24"/>
  <c r="AB71" i="24"/>
  <c r="K16" i="25"/>
  <c r="AD55" i="25"/>
  <c r="I5" i="25" s="1"/>
  <c r="AC55" i="25"/>
  <c r="AB55" i="25"/>
  <c r="AA55" i="25"/>
  <c r="Z55" i="25"/>
  <c r="Y55" i="25"/>
  <c r="AF63" i="25"/>
  <c r="AE63" i="25"/>
  <c r="AD63" i="25"/>
  <c r="AC63" i="25"/>
  <c r="AF68" i="25"/>
  <c r="AE68" i="25"/>
  <c r="AD68" i="25"/>
  <c r="AC68" i="25"/>
  <c r="AB68" i="25"/>
  <c r="AA68" i="25"/>
  <c r="AD73" i="25"/>
  <c r="AC73" i="25"/>
  <c r="AB73" i="25"/>
  <c r="AA73" i="25"/>
  <c r="Z73" i="25"/>
  <c r="Y73" i="25"/>
  <c r="AF81" i="25"/>
  <c r="AE81" i="25"/>
  <c r="AD81" i="25"/>
  <c r="AC81" i="25"/>
  <c r="AF86" i="25"/>
  <c r="AE86" i="25"/>
  <c r="AD86" i="25"/>
  <c r="AC86" i="25"/>
  <c r="AB86" i="25"/>
  <c r="AA86" i="25"/>
  <c r="AD91" i="25"/>
  <c r="AC91" i="25"/>
  <c r="AB91" i="25"/>
  <c r="AA91" i="25"/>
  <c r="Z91" i="25"/>
  <c r="Y91" i="25"/>
  <c r="Z102" i="25"/>
  <c r="Y102" i="25"/>
  <c r="X102" i="25"/>
  <c r="W102" i="25"/>
  <c r="V102" i="25"/>
  <c r="Z114" i="25"/>
  <c r="Y114" i="25"/>
  <c r="X114" i="25"/>
  <c r="W114" i="25"/>
  <c r="V114" i="25"/>
  <c r="Z126" i="25"/>
  <c r="Y126" i="25"/>
  <c r="X126" i="25"/>
  <c r="W126" i="25"/>
  <c r="V126" i="25"/>
  <c r="AB164" i="25"/>
  <c r="AA164" i="25"/>
  <c r="AF164" i="25"/>
  <c r="AE164" i="25"/>
  <c r="AD164" i="25"/>
  <c r="AC164" i="25"/>
  <c r="Z164" i="25"/>
  <c r="AC53" i="26"/>
  <c r="AB53" i="26"/>
  <c r="Z53" i="26"/>
  <c r="AF53" i="26"/>
  <c r="V209" i="26"/>
  <c r="S209" i="26"/>
  <c r="W209" i="26"/>
  <c r="Q209" i="26"/>
  <c r="AB179" i="27"/>
  <c r="AA179" i="27"/>
  <c r="Z179" i="27"/>
  <c r="Y179" i="27"/>
  <c r="AC179" i="27"/>
  <c r="AF179" i="27"/>
  <c r="AD179" i="27"/>
  <c r="AE179" i="27"/>
  <c r="Q195" i="23"/>
  <c r="U200" i="23"/>
  <c r="Q213" i="23"/>
  <c r="U218" i="23"/>
  <c r="AE56" i="24"/>
  <c r="AC58" i="24"/>
  <c r="Z58" i="24"/>
  <c r="AA68" i="24"/>
  <c r="Y71" i="24"/>
  <c r="AE72" i="24"/>
  <c r="Z74" i="24"/>
  <c r="Y74" i="24"/>
  <c r="AF77" i="24"/>
  <c r="AE77" i="24"/>
  <c r="AB77" i="24"/>
  <c r="W109" i="24"/>
  <c r="V109" i="24"/>
  <c r="T109" i="24"/>
  <c r="S109" i="24"/>
  <c r="Z111" i="24"/>
  <c r="X111" i="24"/>
  <c r="W111" i="24"/>
  <c r="Y122" i="24"/>
  <c r="X122" i="24"/>
  <c r="V122" i="24"/>
  <c r="U122" i="24"/>
  <c r="W133" i="24"/>
  <c r="V133" i="24"/>
  <c r="T133" i="24"/>
  <c r="S133" i="24"/>
  <c r="Z135" i="24"/>
  <c r="X135" i="24"/>
  <c r="W135" i="24"/>
  <c r="AD155" i="24"/>
  <c r="AC155" i="24"/>
  <c r="AA155" i="24"/>
  <c r="Z155" i="24"/>
  <c r="AE157" i="24"/>
  <c r="AD157" i="24"/>
  <c r="K14" i="25"/>
  <c r="AE55" i="25"/>
  <c r="K5" i="25" s="1"/>
  <c r="Y63" i="25"/>
  <c r="Y68" i="25"/>
  <c r="AE73" i="25"/>
  <c r="Y81" i="25"/>
  <c r="Y86" i="25"/>
  <c r="AE91" i="25"/>
  <c r="S102" i="25"/>
  <c r="S114" i="25"/>
  <c r="S126" i="25"/>
  <c r="Z151" i="25"/>
  <c r="Y151" i="25"/>
  <c r="AF151" i="25"/>
  <c r="AF161" i="25"/>
  <c r="AE161" i="25"/>
  <c r="AD161" i="25"/>
  <c r="Y164" i="25"/>
  <c r="Y53" i="26"/>
  <c r="AE80" i="26"/>
  <c r="AD80" i="26"/>
  <c r="AF80" i="26"/>
  <c r="AC80" i="26"/>
  <c r="AB80" i="26"/>
  <c r="AA80" i="26"/>
  <c r="Y130" i="26"/>
  <c r="V130" i="26"/>
  <c r="Z130" i="26"/>
  <c r="W130" i="26"/>
  <c r="U130" i="26"/>
  <c r="S130" i="26"/>
  <c r="Z161" i="26"/>
  <c r="AF161" i="26"/>
  <c r="AD161" i="26"/>
  <c r="Y161" i="26"/>
  <c r="AE161" i="26"/>
  <c r="P209" i="26"/>
  <c r="AE58" i="27"/>
  <c r="AC58" i="27"/>
  <c r="AB58" i="27"/>
  <c r="AF58" i="27"/>
  <c r="AA58" i="27"/>
  <c r="AD58" i="27"/>
  <c r="Z58" i="27"/>
  <c r="Y58" i="27"/>
  <c r="AE69" i="27"/>
  <c r="AC69" i="27"/>
  <c r="AA69" i="27"/>
  <c r="Z69" i="27"/>
  <c r="AF69" i="27"/>
  <c r="AD69" i="27"/>
  <c r="Y69" i="27"/>
  <c r="AE75" i="27"/>
  <c r="AC75" i="27"/>
  <c r="AA75" i="27"/>
  <c r="Z75" i="27"/>
  <c r="AD75" i="27"/>
  <c r="AE77" i="27"/>
  <c r="AD77" i="27"/>
  <c r="AC77" i="27"/>
  <c r="AB77" i="27"/>
  <c r="Z77" i="27"/>
  <c r="Z117" i="27"/>
  <c r="Y117" i="27"/>
  <c r="X117" i="27"/>
  <c r="S117" i="27"/>
  <c r="V117" i="27"/>
  <c r="AA147" i="27"/>
  <c r="Z147" i="27"/>
  <c r="AF147" i="27"/>
  <c r="AE147" i="27"/>
  <c r="AD147" i="27"/>
  <c r="AC147" i="27"/>
  <c r="Y147" i="27"/>
  <c r="AB147" i="27"/>
  <c r="AF74" i="23"/>
  <c r="AC74" i="23"/>
  <c r="AB78" i="23"/>
  <c r="Y78" i="23"/>
  <c r="AD85" i="23"/>
  <c r="AA85" i="23"/>
  <c r="AF92" i="23"/>
  <c r="AC92" i="23"/>
  <c r="W100" i="23"/>
  <c r="T100" i="23"/>
  <c r="Y107" i="23"/>
  <c r="V107" i="23"/>
  <c r="W118" i="23"/>
  <c r="T118" i="23"/>
  <c r="Y125" i="23"/>
  <c r="V125" i="23"/>
  <c r="W136" i="23"/>
  <c r="T136" i="23"/>
  <c r="AF147" i="23"/>
  <c r="AC147" i="23"/>
  <c r="AB151" i="23"/>
  <c r="Y151" i="23"/>
  <c r="AD158" i="23"/>
  <c r="AA158" i="23"/>
  <c r="AF165" i="23"/>
  <c r="AC165" i="23"/>
  <c r="AB169" i="23"/>
  <c r="Y169" i="23"/>
  <c r="AD176" i="23"/>
  <c r="AA176" i="23"/>
  <c r="AF183" i="23"/>
  <c r="AC183" i="23"/>
  <c r="T191" i="23"/>
  <c r="Q191" i="23"/>
  <c r="R195" i="23"/>
  <c r="V198" i="23"/>
  <c r="S198" i="23"/>
  <c r="V200" i="23"/>
  <c r="T209" i="23"/>
  <c r="Q209" i="23"/>
  <c r="R213" i="23"/>
  <c r="V216" i="23"/>
  <c r="S216" i="23"/>
  <c r="V218" i="23"/>
  <c r="T227" i="23"/>
  <c r="Q227" i="23"/>
  <c r="AF56" i="24"/>
  <c r="AB68" i="24"/>
  <c r="Z71" i="24"/>
  <c r="AF72" i="24"/>
  <c r="Z80" i="24"/>
  <c r="Y80" i="24"/>
  <c r="AF83" i="24"/>
  <c r="AE83" i="24"/>
  <c r="AB83" i="24"/>
  <c r="Z100" i="24"/>
  <c r="Y100" i="24"/>
  <c r="U109" i="24"/>
  <c r="S111" i="24"/>
  <c r="S122" i="24"/>
  <c r="Z124" i="24"/>
  <c r="Y124" i="24"/>
  <c r="U133" i="24"/>
  <c r="S135" i="24"/>
  <c r="Y155" i="24"/>
  <c r="Y157" i="24"/>
  <c r="AF168" i="24"/>
  <c r="AE168" i="24"/>
  <c r="AD168" i="24"/>
  <c r="AC168" i="24"/>
  <c r="AB168" i="24"/>
  <c r="AF175" i="24"/>
  <c r="AE175" i="24"/>
  <c r="AD175" i="24"/>
  <c r="U194" i="24"/>
  <c r="T194" i="24"/>
  <c r="S194" i="24"/>
  <c r="R194" i="24"/>
  <c r="Q194" i="24"/>
  <c r="P194" i="24"/>
  <c r="W202" i="24"/>
  <c r="V202" i="24"/>
  <c r="U202" i="24"/>
  <c r="T202" i="24"/>
  <c r="W207" i="24"/>
  <c r="V207" i="24"/>
  <c r="U207" i="24"/>
  <c r="T207" i="24"/>
  <c r="S207" i="24"/>
  <c r="R207" i="24"/>
  <c r="U212" i="24"/>
  <c r="T212" i="24"/>
  <c r="S212" i="24"/>
  <c r="R212" i="24"/>
  <c r="Q212" i="24"/>
  <c r="P212" i="24"/>
  <c r="W220" i="24"/>
  <c r="V220" i="24"/>
  <c r="U220" i="24"/>
  <c r="T220" i="24"/>
  <c r="W225" i="24"/>
  <c r="V225" i="24"/>
  <c r="U225" i="24"/>
  <c r="T225" i="24"/>
  <c r="S225" i="24"/>
  <c r="R225" i="24"/>
  <c r="U230" i="24"/>
  <c r="T230" i="24"/>
  <c r="S230" i="24"/>
  <c r="R230" i="24"/>
  <c r="Q230" i="24"/>
  <c r="P230" i="24"/>
  <c r="K12" i="25"/>
  <c r="AF55" i="25"/>
  <c r="C5" i="25" s="1"/>
  <c r="Z63" i="25"/>
  <c r="Z68" i="25"/>
  <c r="AF73" i="25"/>
  <c r="Z81" i="25"/>
  <c r="Z86" i="25"/>
  <c r="AF91" i="25"/>
  <c r="T102" i="25"/>
  <c r="Y107" i="25"/>
  <c r="X107" i="25"/>
  <c r="W107" i="25"/>
  <c r="V107" i="25"/>
  <c r="U107" i="25"/>
  <c r="T107" i="25"/>
  <c r="T114" i="25"/>
  <c r="Y119" i="25"/>
  <c r="X119" i="25"/>
  <c r="W119" i="25"/>
  <c r="V119" i="25"/>
  <c r="U119" i="25"/>
  <c r="T119" i="25"/>
  <c r="T126" i="25"/>
  <c r="W131" i="25"/>
  <c r="Z131" i="25"/>
  <c r="Y131" i="25"/>
  <c r="X131" i="25"/>
  <c r="V131" i="25"/>
  <c r="U131" i="25"/>
  <c r="T131" i="25"/>
  <c r="U136" i="25"/>
  <c r="T136" i="25"/>
  <c r="Z136" i="25"/>
  <c r="Y136" i="25"/>
  <c r="AA151" i="25"/>
  <c r="AD153" i="25"/>
  <c r="AC153" i="25"/>
  <c r="AF153" i="25"/>
  <c r="AE153" i="25"/>
  <c r="AB153" i="25"/>
  <c r="AA153" i="25"/>
  <c r="Z153" i="25"/>
  <c r="Y161" i="25"/>
  <c r="AB176" i="25"/>
  <c r="AA176" i="25"/>
  <c r="AF176" i="25"/>
  <c r="W212" i="25"/>
  <c r="U212" i="25"/>
  <c r="V212" i="25"/>
  <c r="T212" i="25"/>
  <c r="AA53" i="26"/>
  <c r="Z76" i="26"/>
  <c r="AE76" i="26"/>
  <c r="AD76" i="26"/>
  <c r="AB76" i="26"/>
  <c r="Y80" i="26"/>
  <c r="W117" i="26"/>
  <c r="T117" i="26"/>
  <c r="Z117" i="26"/>
  <c r="Y117" i="26"/>
  <c r="X117" i="26"/>
  <c r="S127" i="26"/>
  <c r="Z127" i="26"/>
  <c r="Y127" i="26"/>
  <c r="W127" i="26"/>
  <c r="X127" i="26"/>
  <c r="T130" i="26"/>
  <c r="AA161" i="26"/>
  <c r="R209" i="26"/>
  <c r="K14" i="27"/>
  <c r="AB69" i="27"/>
  <c r="Y75" i="27"/>
  <c r="Y77" i="27"/>
  <c r="T117" i="27"/>
  <c r="Z135" i="27"/>
  <c r="Y135" i="27"/>
  <c r="X135" i="27"/>
  <c r="W135" i="27"/>
  <c r="S135" i="27"/>
  <c r="V135" i="27"/>
  <c r="U135" i="27"/>
  <c r="Z86" i="24"/>
  <c r="Y86" i="24"/>
  <c r="AF89" i="24"/>
  <c r="AE89" i="24"/>
  <c r="AB89" i="24"/>
  <c r="AD149" i="24"/>
  <c r="AC149" i="24"/>
  <c r="AA149" i="24"/>
  <c r="Z149" i="24"/>
  <c r="AE151" i="24"/>
  <c r="AD151" i="24"/>
  <c r="AF180" i="24"/>
  <c r="AE180" i="24"/>
  <c r="AD180" i="24"/>
  <c r="AC180" i="24"/>
  <c r="AB180" i="24"/>
  <c r="AD165" i="25"/>
  <c r="AC165" i="25"/>
  <c r="AF165" i="25"/>
  <c r="AF178" i="25"/>
  <c r="AE178" i="25"/>
  <c r="AD178" i="25"/>
  <c r="AC178" i="25"/>
  <c r="AB178" i="25"/>
  <c r="AA178" i="25"/>
  <c r="Z178" i="25"/>
  <c r="AD53" i="26"/>
  <c r="AF61" i="26"/>
  <c r="AD61" i="26"/>
  <c r="AE61" i="26"/>
  <c r="AC61" i="26"/>
  <c r="AB61" i="26"/>
  <c r="AA61" i="26"/>
  <c r="Y106" i="26"/>
  <c r="V106" i="26"/>
  <c r="Z106" i="26"/>
  <c r="X106" i="26"/>
  <c r="W106" i="26"/>
  <c r="U106" i="26"/>
  <c r="X119" i="26"/>
  <c r="W119" i="26"/>
  <c r="V119" i="26"/>
  <c r="T119" i="26"/>
  <c r="Z119" i="26"/>
  <c r="Y119" i="26"/>
  <c r="U119" i="26"/>
  <c r="S119" i="26"/>
  <c r="T209" i="26"/>
  <c r="W211" i="26"/>
  <c r="U211" i="26"/>
  <c r="S211" i="26"/>
  <c r="R211" i="26"/>
  <c r="P211" i="26"/>
  <c r="V211" i="26"/>
  <c r="AE81" i="27"/>
  <c r="AC81" i="27"/>
  <c r="AA81" i="27"/>
  <c r="Z81" i="27"/>
  <c r="Y81" i="27"/>
  <c r="AF81" i="27"/>
  <c r="AD81" i="27"/>
  <c r="AB81" i="27"/>
  <c r="Y123" i="27"/>
  <c r="W123" i="27"/>
  <c r="V123" i="27"/>
  <c r="U123" i="27"/>
  <c r="T123" i="27"/>
  <c r="X123" i="27"/>
  <c r="Z123" i="27"/>
  <c r="AC154" i="27"/>
  <c r="AB154" i="27"/>
  <c r="AF154" i="27"/>
  <c r="AE154" i="27"/>
  <c r="AD154" i="27"/>
  <c r="AA154" i="27"/>
  <c r="Y154" i="27"/>
  <c r="AE161" i="27"/>
  <c r="AD161" i="27"/>
  <c r="AF161" i="27"/>
  <c r="AC161" i="27"/>
  <c r="AB161" i="27"/>
  <c r="AA161" i="27"/>
  <c r="Y161" i="27"/>
  <c r="Z161" i="27"/>
  <c r="Z74" i="23"/>
  <c r="AA78" i="23"/>
  <c r="Z81" i="23"/>
  <c r="Z85" i="23"/>
  <c r="AB89" i="23"/>
  <c r="Z92" i="23"/>
  <c r="U100" i="23"/>
  <c r="T107" i="23"/>
  <c r="T114" i="23"/>
  <c r="U118" i="23"/>
  <c r="T125" i="23"/>
  <c r="T132" i="23"/>
  <c r="U136" i="23"/>
  <c r="Z147" i="23"/>
  <c r="AA151" i="23"/>
  <c r="Z154" i="23"/>
  <c r="Z158" i="23"/>
  <c r="AB162" i="23"/>
  <c r="Z165" i="23"/>
  <c r="AA169" i="23"/>
  <c r="Z172" i="23"/>
  <c r="Z176" i="23"/>
  <c r="Z183" i="23"/>
  <c r="R191" i="23"/>
  <c r="T195" i="23"/>
  <c r="Q198" i="23"/>
  <c r="Q205" i="23"/>
  <c r="R209" i="23"/>
  <c r="P212" i="23"/>
  <c r="T213" i="23"/>
  <c r="Q216" i="23"/>
  <c r="Q223" i="23"/>
  <c r="R227" i="23"/>
  <c r="P230" i="23"/>
  <c r="Z61" i="24"/>
  <c r="AD64" i="24"/>
  <c r="AC64" i="24"/>
  <c r="Z64" i="24"/>
  <c r="AD68" i="24"/>
  <c r="AC71" i="24"/>
  <c r="AB80" i="24"/>
  <c r="Z83" i="24"/>
  <c r="AA86" i="24"/>
  <c r="Y89" i="24"/>
  <c r="Z92" i="24"/>
  <c r="Y92" i="24"/>
  <c r="T100" i="24"/>
  <c r="W103" i="24"/>
  <c r="V103" i="24"/>
  <c r="T103" i="24"/>
  <c r="S103" i="24"/>
  <c r="Z105" i="24"/>
  <c r="X105" i="24"/>
  <c r="W105" i="24"/>
  <c r="Y116" i="24"/>
  <c r="X116" i="24"/>
  <c r="V116" i="24"/>
  <c r="U116" i="24"/>
  <c r="W127" i="24"/>
  <c r="V127" i="24"/>
  <c r="T127" i="24"/>
  <c r="S127" i="24"/>
  <c r="Z129" i="24"/>
  <c r="X129" i="24"/>
  <c r="W129" i="24"/>
  <c r="Y149" i="24"/>
  <c r="Y151" i="24"/>
  <c r="Z165" i="24"/>
  <c r="Y165" i="24"/>
  <c r="AD173" i="24"/>
  <c r="AC173" i="24"/>
  <c r="AB173" i="24"/>
  <c r="AA173" i="24"/>
  <c r="Z173" i="24"/>
  <c r="Y180" i="24"/>
  <c r="AF56" i="25"/>
  <c r="AE56" i="25"/>
  <c r="AD56" i="25"/>
  <c r="AC56" i="25"/>
  <c r="AB56" i="25"/>
  <c r="AA56" i="25"/>
  <c r="AD61" i="25"/>
  <c r="AC61" i="25"/>
  <c r="AB61" i="25"/>
  <c r="AA61" i="25"/>
  <c r="Z61" i="25"/>
  <c r="Y61" i="25"/>
  <c r="AB63" i="25"/>
  <c r="E5" i="25" s="1"/>
  <c r="AF69" i="25"/>
  <c r="AE69" i="25"/>
  <c r="AD69" i="25"/>
  <c r="AC69" i="25"/>
  <c r="AF74" i="25"/>
  <c r="AE74" i="25"/>
  <c r="AD74" i="25"/>
  <c r="AC74" i="25"/>
  <c r="AB74" i="25"/>
  <c r="AA74" i="25"/>
  <c r="AD79" i="25"/>
  <c r="AC79" i="25"/>
  <c r="AB79" i="25"/>
  <c r="AA79" i="25"/>
  <c r="Z79" i="25"/>
  <c r="Y79" i="25"/>
  <c r="AB81" i="25"/>
  <c r="AF87" i="25"/>
  <c r="AE87" i="25"/>
  <c r="AD87" i="25"/>
  <c r="AC87" i="25"/>
  <c r="AF92" i="25"/>
  <c r="AE92" i="25"/>
  <c r="AD92" i="25"/>
  <c r="AC92" i="25"/>
  <c r="AB92" i="25"/>
  <c r="AA92" i="25"/>
  <c r="Y138" i="25"/>
  <c r="X138" i="25"/>
  <c r="Z138" i="25"/>
  <c r="W138" i="25"/>
  <c r="V138" i="25"/>
  <c r="U138" i="25"/>
  <c r="T138" i="25"/>
  <c r="S138" i="25"/>
  <c r="AC151" i="25"/>
  <c r="AA161" i="25"/>
  <c r="Y165" i="25"/>
  <c r="AE167" i="25"/>
  <c r="AD167" i="25"/>
  <c r="AC167" i="25"/>
  <c r="AB167" i="25"/>
  <c r="AA167" i="25"/>
  <c r="Z167" i="25"/>
  <c r="Y178" i="25"/>
  <c r="AE53" i="26"/>
  <c r="AC59" i="26"/>
  <c r="AB59" i="26"/>
  <c r="Z59" i="26"/>
  <c r="AF59" i="26"/>
  <c r="Y61" i="26"/>
  <c r="AA76" i="26"/>
  <c r="AE86" i="26"/>
  <c r="AC86" i="26"/>
  <c r="AB86" i="26"/>
  <c r="Z86" i="26"/>
  <c r="S106" i="26"/>
  <c r="U117" i="26"/>
  <c r="U127" i="26"/>
  <c r="AD151" i="26"/>
  <c r="AA151" i="26"/>
  <c r="Y151" i="26"/>
  <c r="AC151" i="26"/>
  <c r="AF151" i="26"/>
  <c r="AF158" i="26"/>
  <c r="AC158" i="26"/>
  <c r="Y158" i="26"/>
  <c r="AB158" i="26"/>
  <c r="AE158" i="26"/>
  <c r="AD158" i="26"/>
  <c r="AC161" i="26"/>
  <c r="U209" i="26"/>
  <c r="Q211" i="26"/>
  <c r="V228" i="26"/>
  <c r="U228" i="26"/>
  <c r="S228" i="26"/>
  <c r="Q228" i="26"/>
  <c r="P228" i="26"/>
  <c r="AF75" i="27"/>
  <c r="AF77" i="27"/>
  <c r="W117" i="27"/>
  <c r="S123" i="27"/>
  <c r="Z154" i="27"/>
  <c r="V191" i="24"/>
  <c r="V197" i="24"/>
  <c r="V203" i="24"/>
  <c r="V209" i="24"/>
  <c r="V215" i="24"/>
  <c r="V221" i="24"/>
  <c r="V227" i="24"/>
  <c r="AE58" i="25"/>
  <c r="AE64" i="25"/>
  <c r="AE70" i="25"/>
  <c r="AE76" i="25"/>
  <c r="AE82" i="25"/>
  <c r="AE88" i="25"/>
  <c r="V194" i="25"/>
  <c r="V199" i="25"/>
  <c r="U199" i="25"/>
  <c r="S199" i="25"/>
  <c r="V205" i="25"/>
  <c r="U205" i="25"/>
  <c r="S205" i="25"/>
  <c r="V211" i="25"/>
  <c r="U211" i="25"/>
  <c r="S211" i="25"/>
  <c r="V217" i="25"/>
  <c r="U217" i="25"/>
  <c r="S217" i="25"/>
  <c r="V223" i="25"/>
  <c r="U223" i="25"/>
  <c r="S223" i="25"/>
  <c r="V229" i="25"/>
  <c r="U229" i="25"/>
  <c r="S229" i="25"/>
  <c r="AE56" i="26"/>
  <c r="AE62" i="26"/>
  <c r="AD72" i="26"/>
  <c r="AA72" i="26"/>
  <c r="AE72" i="26"/>
  <c r="AC72" i="26"/>
  <c r="Z72" i="26"/>
  <c r="X131" i="26"/>
  <c r="Z131" i="26"/>
  <c r="W131" i="26"/>
  <c r="AD169" i="26"/>
  <c r="AA169" i="26"/>
  <c r="Y169" i="26"/>
  <c r="AC169" i="26"/>
  <c r="Z179" i="26"/>
  <c r="AF179" i="26"/>
  <c r="AD179" i="26"/>
  <c r="Y179" i="26"/>
  <c r="AE183" i="26"/>
  <c r="Y183" i="26"/>
  <c r="AB183" i="26"/>
  <c r="V191" i="26"/>
  <c r="S191" i="26"/>
  <c r="W191" i="26"/>
  <c r="Q191" i="26"/>
  <c r="U198" i="26"/>
  <c r="V198" i="26"/>
  <c r="Q198" i="26"/>
  <c r="V227" i="26"/>
  <c r="T227" i="26"/>
  <c r="S227" i="26"/>
  <c r="Q227" i="26"/>
  <c r="Y78" i="27"/>
  <c r="AF78" i="27"/>
  <c r="AE78" i="27"/>
  <c r="AA78" i="27"/>
  <c r="T125" i="27"/>
  <c r="S125" i="27"/>
  <c r="Z125" i="27"/>
  <c r="X125" i="27"/>
  <c r="V125" i="27"/>
  <c r="U125" i="27"/>
  <c r="AD90" i="28"/>
  <c r="AB90" i="28"/>
  <c r="Z90" i="28"/>
  <c r="Y90" i="28"/>
  <c r="AF90" i="28"/>
  <c r="AE90" i="28"/>
  <c r="AC90" i="28"/>
  <c r="AA90" i="28"/>
  <c r="T192" i="25"/>
  <c r="S192" i="25"/>
  <c r="AD66" i="26"/>
  <c r="AA66" i="26"/>
  <c r="AF66" i="26"/>
  <c r="AB77" i="26"/>
  <c r="Y77" i="26"/>
  <c r="AF77" i="26"/>
  <c r="Z108" i="26"/>
  <c r="V108" i="26"/>
  <c r="U108" i="26"/>
  <c r="S108" i="26"/>
  <c r="Z167" i="26"/>
  <c r="AE167" i="26"/>
  <c r="AC167" i="26"/>
  <c r="AB167" i="26"/>
  <c r="Y167" i="26"/>
  <c r="AF176" i="26"/>
  <c r="AC176" i="26"/>
  <c r="Y176" i="26"/>
  <c r="AB176" i="26"/>
  <c r="T208" i="26"/>
  <c r="Q208" i="26"/>
  <c r="V208" i="26"/>
  <c r="U208" i="26"/>
  <c r="R208" i="26"/>
  <c r="V215" i="26"/>
  <c r="S215" i="26"/>
  <c r="U215" i="26"/>
  <c r="T215" i="26"/>
  <c r="Q215" i="26"/>
  <c r="AE53" i="27"/>
  <c r="AD53" i="27"/>
  <c r="AF53" i="27"/>
  <c r="Z53" i="27"/>
  <c r="T107" i="27"/>
  <c r="S107" i="27"/>
  <c r="Z107" i="27"/>
  <c r="Y107" i="27"/>
  <c r="X107" i="27"/>
  <c r="V107" i="27"/>
  <c r="S217" i="27"/>
  <c r="Q217" i="27"/>
  <c r="W217" i="27"/>
  <c r="V217" i="27"/>
  <c r="U217" i="27"/>
  <c r="T217" i="27"/>
  <c r="P217" i="27"/>
  <c r="R217" i="27"/>
  <c r="Z145" i="25"/>
  <c r="Y145" i="25"/>
  <c r="AF148" i="25"/>
  <c r="AE148" i="25"/>
  <c r="AB152" i="25"/>
  <c r="AA152" i="25"/>
  <c r="AD159" i="25"/>
  <c r="AC159" i="25"/>
  <c r="Z163" i="25"/>
  <c r="Y163" i="25"/>
  <c r="AF166" i="25"/>
  <c r="AE166" i="25"/>
  <c r="AB170" i="25"/>
  <c r="AA170" i="25"/>
  <c r="AD177" i="25"/>
  <c r="AC177" i="25"/>
  <c r="Z181" i="25"/>
  <c r="Y181" i="25"/>
  <c r="AF184" i="25"/>
  <c r="AE184" i="25"/>
  <c r="AE54" i="26"/>
  <c r="AD54" i="26"/>
  <c r="AB54" i="26"/>
  <c r="AE60" i="26"/>
  <c r="AD60" i="26"/>
  <c r="AB60" i="26"/>
  <c r="Z77" i="26"/>
  <c r="AD90" i="26"/>
  <c r="AA90" i="26"/>
  <c r="AE90" i="26"/>
  <c r="AC90" i="26"/>
  <c r="Z90" i="26"/>
  <c r="T108" i="26"/>
  <c r="Z138" i="26"/>
  <c r="Y138" i="26"/>
  <c r="X138" i="26"/>
  <c r="V138" i="26"/>
  <c r="AB162" i="26"/>
  <c r="Y162" i="26"/>
  <c r="Z162" i="26"/>
  <c r="AD162" i="26"/>
  <c r="Z176" i="26"/>
  <c r="T220" i="26"/>
  <c r="Q220" i="26"/>
  <c r="W220" i="26"/>
  <c r="R220" i="26"/>
  <c r="Y53" i="27"/>
  <c r="Y84" i="27"/>
  <c r="AF84" i="27"/>
  <c r="Z84" i="27"/>
  <c r="AC84" i="27"/>
  <c r="AC148" i="27"/>
  <c r="AB148" i="27"/>
  <c r="Y148" i="27"/>
  <c r="Z148" i="27"/>
  <c r="AE148" i="27"/>
  <c r="AF150" i="27"/>
  <c r="AE150" i="27"/>
  <c r="AD150" i="27"/>
  <c r="AC150" i="27"/>
  <c r="AB150" i="27"/>
  <c r="Z150" i="27"/>
  <c r="AF162" i="27"/>
  <c r="Y162" i="27"/>
  <c r="Z162" i="27"/>
  <c r="AC162" i="27"/>
  <c r="AD180" i="27"/>
  <c r="AE180" i="27"/>
  <c r="AC180" i="27"/>
  <c r="AB180" i="27"/>
  <c r="AF180" i="27"/>
  <c r="AA180" i="27"/>
  <c r="Z180" i="27"/>
  <c r="Y180" i="27"/>
  <c r="T102" i="24"/>
  <c r="T108" i="24"/>
  <c r="T114" i="24"/>
  <c r="T120" i="24"/>
  <c r="T126" i="24"/>
  <c r="T132" i="24"/>
  <c r="T138" i="24"/>
  <c r="Y171" i="24"/>
  <c r="Y177" i="24"/>
  <c r="Y183" i="24"/>
  <c r="Q193" i="24"/>
  <c r="Q199" i="24"/>
  <c r="Q205" i="24"/>
  <c r="Q211" i="24"/>
  <c r="Q217" i="24"/>
  <c r="Q223" i="24"/>
  <c r="Q229" i="24"/>
  <c r="Z54" i="25"/>
  <c r="Z60" i="25"/>
  <c r="Z66" i="25"/>
  <c r="Z72" i="25"/>
  <c r="Z78" i="25"/>
  <c r="Z84" i="25"/>
  <c r="Z90" i="25"/>
  <c r="S99" i="25"/>
  <c r="S105" i="25"/>
  <c r="S111" i="25"/>
  <c r="S117" i="25"/>
  <c r="S123" i="25"/>
  <c r="S129" i="25"/>
  <c r="W137" i="25"/>
  <c r="V137" i="25"/>
  <c r="AA145" i="25"/>
  <c r="Y148" i="25"/>
  <c r="Y152" i="25"/>
  <c r="Y155" i="25"/>
  <c r="Y159" i="25"/>
  <c r="AA163" i="25"/>
  <c r="Y166" i="25"/>
  <c r="Y170" i="25"/>
  <c r="Y173" i="25"/>
  <c r="Y177" i="25"/>
  <c r="AA181" i="25"/>
  <c r="Y184" i="25"/>
  <c r="Q192" i="25"/>
  <c r="P195" i="25"/>
  <c r="R199" i="25"/>
  <c r="R205" i="25"/>
  <c r="R211" i="25"/>
  <c r="R217" i="25"/>
  <c r="R223" i="25"/>
  <c r="R229" i="25"/>
  <c r="Y54" i="26"/>
  <c r="Y60" i="26"/>
  <c r="Z66" i="26"/>
  <c r="AF72" i="26"/>
  <c r="AA77" i="26"/>
  <c r="Z82" i="26"/>
  <c r="AA82" i="26"/>
  <c r="Y82" i="26"/>
  <c r="AD84" i="26"/>
  <c r="AA84" i="26"/>
  <c r="AF84" i="26"/>
  <c r="Y90" i="26"/>
  <c r="Z102" i="26"/>
  <c r="Y102" i="26"/>
  <c r="W102" i="26"/>
  <c r="W108" i="26"/>
  <c r="V121" i="26"/>
  <c r="Z126" i="26"/>
  <c r="X126" i="26"/>
  <c r="V126" i="26"/>
  <c r="U126" i="26"/>
  <c r="S126" i="26"/>
  <c r="U131" i="26"/>
  <c r="S133" i="26"/>
  <c r="W133" i="26"/>
  <c r="U133" i="26"/>
  <c r="T133" i="26"/>
  <c r="S138" i="26"/>
  <c r="AE147" i="26"/>
  <c r="Y147" i="26"/>
  <c r="AA162" i="26"/>
  <c r="AD167" i="26"/>
  <c r="AE169" i="26"/>
  <c r="AA176" i="26"/>
  <c r="AC179" i="26"/>
  <c r="AC183" i="26"/>
  <c r="T191" i="26"/>
  <c r="W193" i="26"/>
  <c r="U193" i="26"/>
  <c r="S193" i="26"/>
  <c r="R193" i="26"/>
  <c r="P193" i="26"/>
  <c r="S198" i="26"/>
  <c r="W205" i="26"/>
  <c r="V205" i="26"/>
  <c r="T205" i="26"/>
  <c r="P205" i="26"/>
  <c r="S208" i="26"/>
  <c r="R215" i="26"/>
  <c r="P220" i="26"/>
  <c r="P224" i="26"/>
  <c r="Q224" i="26"/>
  <c r="T224" i="26"/>
  <c r="U227" i="26"/>
  <c r="AA53" i="27"/>
  <c r="AA55" i="27"/>
  <c r="Y55" i="27"/>
  <c r="AE55" i="27"/>
  <c r="AD55" i="27"/>
  <c r="AB55" i="27"/>
  <c r="AC78" i="27"/>
  <c r="AA84" i="27"/>
  <c r="W107" i="27"/>
  <c r="Z110" i="27"/>
  <c r="Y110" i="27"/>
  <c r="X110" i="27"/>
  <c r="S110" i="27"/>
  <c r="V110" i="27"/>
  <c r="T113" i="27"/>
  <c r="S113" i="27"/>
  <c r="Y113" i="27"/>
  <c r="X113" i="27"/>
  <c r="W113" i="27"/>
  <c r="V113" i="27"/>
  <c r="Z113" i="27"/>
  <c r="Z128" i="27"/>
  <c r="Y128" i="27"/>
  <c r="X128" i="27"/>
  <c r="W128" i="27"/>
  <c r="S128" i="27"/>
  <c r="T131" i="27"/>
  <c r="S131" i="27"/>
  <c r="Y131" i="27"/>
  <c r="X131" i="27"/>
  <c r="W131" i="27"/>
  <c r="V131" i="27"/>
  <c r="AA148" i="27"/>
  <c r="Y150" i="27"/>
  <c r="AA162" i="27"/>
  <c r="AB145" i="25"/>
  <c r="Z148" i="25"/>
  <c r="Z152" i="25"/>
  <c r="Z159" i="25"/>
  <c r="AB163" i="25"/>
  <c r="Z166" i="25"/>
  <c r="Z170" i="25"/>
  <c r="Z177" i="25"/>
  <c r="AB181" i="25"/>
  <c r="Z184" i="25"/>
  <c r="R192" i="25"/>
  <c r="Z54" i="26"/>
  <c r="Z60" i="26"/>
  <c r="AB66" i="26"/>
  <c r="AE68" i="26"/>
  <c r="AC68" i="26"/>
  <c r="AB68" i="26"/>
  <c r="Z68" i="26"/>
  <c r="AC77" i="26"/>
  <c r="AF79" i="26"/>
  <c r="AC79" i="26"/>
  <c r="AD79" i="26"/>
  <c r="AB79" i="26"/>
  <c r="Z79" i="26"/>
  <c r="AB90" i="26"/>
  <c r="W105" i="26"/>
  <c r="T105" i="26"/>
  <c r="Y105" i="26"/>
  <c r="X105" i="26"/>
  <c r="U105" i="26"/>
  <c r="X108" i="26"/>
  <c r="T138" i="26"/>
  <c r="AC162" i="26"/>
  <c r="AF167" i="26"/>
  <c r="AD176" i="26"/>
  <c r="W208" i="26"/>
  <c r="W215" i="26"/>
  <c r="S220" i="26"/>
  <c r="U222" i="26"/>
  <c r="W222" i="26"/>
  <c r="T222" i="26"/>
  <c r="S222" i="26"/>
  <c r="Q222" i="26"/>
  <c r="K11" i="27"/>
  <c r="AB53" i="27"/>
  <c r="AE59" i="27"/>
  <c r="AD59" i="27"/>
  <c r="Y59" i="27"/>
  <c r="AB59" i="27"/>
  <c r="AA67" i="27"/>
  <c r="Y67" i="27"/>
  <c r="AF67" i="27"/>
  <c r="AB67" i="27"/>
  <c r="AA73" i="27"/>
  <c r="Y73" i="27"/>
  <c r="Z73" i="27"/>
  <c r="AD73" i="27"/>
  <c r="AD78" i="27"/>
  <c r="AE82" i="27"/>
  <c r="AC82" i="27"/>
  <c r="AB82" i="27"/>
  <c r="AD82" i="27"/>
  <c r="Z82" i="27"/>
  <c r="Y82" i="27"/>
  <c r="AB84" i="27"/>
  <c r="AE88" i="27"/>
  <c r="AC88" i="27"/>
  <c r="AB88" i="27"/>
  <c r="AD88" i="27"/>
  <c r="AA88" i="27"/>
  <c r="Y88" i="27"/>
  <c r="AD148" i="27"/>
  <c r="AA150" i="27"/>
  <c r="AB162" i="27"/>
  <c r="R191" i="25"/>
  <c r="Q191" i="25"/>
  <c r="T198" i="25"/>
  <c r="S198" i="25"/>
  <c r="Q198" i="25"/>
  <c r="T204" i="25"/>
  <c r="S204" i="25"/>
  <c r="Q204" i="25"/>
  <c r="T210" i="25"/>
  <c r="S210" i="25"/>
  <c r="Q210" i="25"/>
  <c r="T216" i="25"/>
  <c r="S216" i="25"/>
  <c r="Q216" i="25"/>
  <c r="T222" i="25"/>
  <c r="S222" i="25"/>
  <c r="Q222" i="25"/>
  <c r="T228" i="25"/>
  <c r="S228" i="25"/>
  <c r="Q228" i="25"/>
  <c r="AF73" i="26"/>
  <c r="AC73" i="26"/>
  <c r="AE73" i="26"/>
  <c r="Z120" i="26"/>
  <c r="Y120" i="26"/>
  <c r="W120" i="26"/>
  <c r="P230" i="26"/>
  <c r="V230" i="26"/>
  <c r="R230" i="26"/>
  <c r="AC166" i="27"/>
  <c r="AB166" i="27"/>
  <c r="Y166" i="27"/>
  <c r="AF166" i="27"/>
  <c r="AE166" i="27"/>
  <c r="AA166" i="27"/>
  <c r="Z184" i="27"/>
  <c r="AC184" i="27"/>
  <c r="AB184" i="27"/>
  <c r="AA184" i="27"/>
  <c r="AF184" i="27"/>
  <c r="AD184" i="27"/>
  <c r="Z172" i="27"/>
  <c r="AF172" i="27"/>
  <c r="AE172" i="27"/>
  <c r="AD172" i="27"/>
  <c r="AC172" i="27"/>
  <c r="AF181" i="27"/>
  <c r="AE181" i="27"/>
  <c r="Y181" i="27"/>
  <c r="T195" i="27"/>
  <c r="R195" i="27"/>
  <c r="Q195" i="27"/>
  <c r="AD80" i="29"/>
  <c r="AB80" i="29"/>
  <c r="Z80" i="29"/>
  <c r="AF80" i="29"/>
  <c r="AE80" i="29"/>
  <c r="AC80" i="29"/>
  <c r="AA80" i="29"/>
  <c r="Y80" i="29"/>
  <c r="AE154" i="30"/>
  <c r="AD154" i="30"/>
  <c r="AC154" i="30"/>
  <c r="AB154" i="30"/>
  <c r="AF154" i="30"/>
  <c r="Y154" i="30"/>
  <c r="AA154" i="30"/>
  <c r="Z154" i="30"/>
  <c r="AB150" i="26"/>
  <c r="Y150" i="26"/>
  <c r="AD157" i="26"/>
  <c r="AA157" i="26"/>
  <c r="AF164" i="26"/>
  <c r="AC164" i="26"/>
  <c r="AB168" i="26"/>
  <c r="Y168" i="26"/>
  <c r="AD175" i="26"/>
  <c r="AA175" i="26"/>
  <c r="AF182" i="26"/>
  <c r="AC182" i="26"/>
  <c r="AA61" i="27"/>
  <c r="Y61" i="27"/>
  <c r="Y72" i="27"/>
  <c r="AF72" i="27"/>
  <c r="AE83" i="27"/>
  <c r="AD83" i="27"/>
  <c r="X121" i="27"/>
  <c r="W121" i="27"/>
  <c r="Z121" i="27"/>
  <c r="Y172" i="27"/>
  <c r="Z181" i="27"/>
  <c r="P195" i="27"/>
  <c r="S115" i="28"/>
  <c r="T115" i="28"/>
  <c r="Z115" i="28"/>
  <c r="Y115" i="28"/>
  <c r="X115" i="28"/>
  <c r="W115" i="28"/>
  <c r="V115" i="28"/>
  <c r="U115" i="28"/>
  <c r="AF165" i="28"/>
  <c r="AE165" i="28"/>
  <c r="AD165" i="28"/>
  <c r="AC165" i="28"/>
  <c r="AB165" i="28"/>
  <c r="AA165" i="28"/>
  <c r="Z165" i="28"/>
  <c r="Y165" i="28"/>
  <c r="AD58" i="29"/>
  <c r="AE58" i="29"/>
  <c r="AC58" i="29"/>
  <c r="AB58" i="29"/>
  <c r="AA58" i="29"/>
  <c r="Z58" i="29"/>
  <c r="Y58" i="29"/>
  <c r="AF58" i="29"/>
  <c r="AD145" i="26"/>
  <c r="AA145" i="26"/>
  <c r="AD150" i="26"/>
  <c r="AF152" i="26"/>
  <c r="AC152" i="26"/>
  <c r="AB153" i="26"/>
  <c r="AB156" i="26"/>
  <c r="Y156" i="26"/>
  <c r="AC157" i="26"/>
  <c r="AD163" i="26"/>
  <c r="AA163" i="26"/>
  <c r="AB164" i="26"/>
  <c r="AD168" i="26"/>
  <c r="AF170" i="26"/>
  <c r="AC170" i="26"/>
  <c r="AB171" i="26"/>
  <c r="AB174" i="26"/>
  <c r="Y174" i="26"/>
  <c r="AC175" i="26"/>
  <c r="AD181" i="26"/>
  <c r="AA181" i="26"/>
  <c r="AB182" i="26"/>
  <c r="T194" i="26"/>
  <c r="T212" i="26"/>
  <c r="Y60" i="27"/>
  <c r="AF60" i="27"/>
  <c r="AD61" i="27"/>
  <c r="AE71" i="27"/>
  <c r="AD71" i="27"/>
  <c r="AC72" i="27"/>
  <c r="AB83" i="27"/>
  <c r="AA85" i="27"/>
  <c r="Y85" i="27"/>
  <c r="V102" i="27"/>
  <c r="U102" i="27"/>
  <c r="Y102" i="27"/>
  <c r="W102" i="27"/>
  <c r="T102" i="27"/>
  <c r="Z104" i="27"/>
  <c r="Y104" i="27"/>
  <c r="U104" i="27"/>
  <c r="S104" i="27"/>
  <c r="X109" i="27"/>
  <c r="W109" i="27"/>
  <c r="Y109" i="27"/>
  <c r="V109" i="27"/>
  <c r="U109" i="27"/>
  <c r="T109" i="27"/>
  <c r="Z116" i="27"/>
  <c r="Y116" i="27"/>
  <c r="W116" i="27"/>
  <c r="V116" i="27"/>
  <c r="U116" i="27"/>
  <c r="T116" i="27"/>
  <c r="V121" i="27"/>
  <c r="AD168" i="27"/>
  <c r="AF168" i="27"/>
  <c r="AE168" i="27"/>
  <c r="AC168" i="27"/>
  <c r="AB168" i="27"/>
  <c r="AD181" i="27"/>
  <c r="W195" i="27"/>
  <c r="W201" i="27"/>
  <c r="T201" i="27"/>
  <c r="R201" i="27"/>
  <c r="Q201" i="27"/>
  <c r="V201" i="27"/>
  <c r="U201" i="27"/>
  <c r="S201" i="27"/>
  <c r="P201" i="27"/>
  <c r="AD78" i="28"/>
  <c r="AB78" i="28"/>
  <c r="Z78" i="28"/>
  <c r="AF78" i="28"/>
  <c r="AE78" i="28"/>
  <c r="AC78" i="28"/>
  <c r="AA78" i="28"/>
  <c r="Y78" i="28"/>
  <c r="Q197" i="25"/>
  <c r="Q203" i="25"/>
  <c r="Q209" i="25"/>
  <c r="Q215" i="25"/>
  <c r="Q221" i="25"/>
  <c r="Q227" i="25"/>
  <c r="Z58" i="26"/>
  <c r="Z64" i="26"/>
  <c r="AF67" i="26"/>
  <c r="AC67" i="26"/>
  <c r="AB71" i="26"/>
  <c r="Y71" i="26"/>
  <c r="AD78" i="26"/>
  <c r="AA78" i="26"/>
  <c r="AF85" i="26"/>
  <c r="AC85" i="26"/>
  <c r="AB89" i="26"/>
  <c r="Y89" i="26"/>
  <c r="Y100" i="26"/>
  <c r="V100" i="26"/>
  <c r="W111" i="26"/>
  <c r="T111" i="26"/>
  <c r="U115" i="26"/>
  <c r="Y118" i="26"/>
  <c r="V118" i="26"/>
  <c r="Z145" i="26"/>
  <c r="AF150" i="26"/>
  <c r="Z152" i="26"/>
  <c r="AD153" i="26"/>
  <c r="AA156" i="26"/>
  <c r="AF157" i="26"/>
  <c r="Z159" i="26"/>
  <c r="Z163" i="26"/>
  <c r="AE164" i="26"/>
  <c r="AF168" i="26"/>
  <c r="Z170" i="26"/>
  <c r="AD171" i="26"/>
  <c r="AA174" i="26"/>
  <c r="AF175" i="26"/>
  <c r="Z177" i="26"/>
  <c r="Z181" i="26"/>
  <c r="AE182" i="26"/>
  <c r="V194" i="26"/>
  <c r="T196" i="26"/>
  <c r="Q196" i="26"/>
  <c r="R200" i="26"/>
  <c r="V203" i="26"/>
  <c r="S203" i="26"/>
  <c r="V212" i="26"/>
  <c r="T214" i="26"/>
  <c r="Q214" i="26"/>
  <c r="R218" i="26"/>
  <c r="V221" i="26"/>
  <c r="S221" i="26"/>
  <c r="K12" i="27"/>
  <c r="Y54" i="27"/>
  <c r="AF54" i="27"/>
  <c r="AA60" i="27"/>
  <c r="AF61" i="27"/>
  <c r="AE65" i="27"/>
  <c r="AD65" i="27"/>
  <c r="Z71" i="27"/>
  <c r="AE72" i="27"/>
  <c r="AA79" i="27"/>
  <c r="Y79" i="27"/>
  <c r="AF83" i="27"/>
  <c r="AB85" i="27"/>
  <c r="Y90" i="27"/>
  <c r="AF90" i="27"/>
  <c r="X102" i="27"/>
  <c r="V104" i="27"/>
  <c r="Z109" i="27"/>
  <c r="X116" i="27"/>
  <c r="Z168" i="27"/>
  <c r="S223" i="27"/>
  <c r="Q223" i="27"/>
  <c r="U223" i="27"/>
  <c r="R223" i="27"/>
  <c r="P223" i="27"/>
  <c r="V115" i="26"/>
  <c r="W129" i="26"/>
  <c r="T129" i="26"/>
  <c r="Y136" i="26"/>
  <c r="V136" i="26"/>
  <c r="AB145" i="26"/>
  <c r="AA152" i="26"/>
  <c r="AF153" i="26"/>
  <c r="AC156" i="26"/>
  <c r="AA159" i="26"/>
  <c r="AB163" i="26"/>
  <c r="AA170" i="26"/>
  <c r="AF171" i="26"/>
  <c r="AC174" i="26"/>
  <c r="AA177" i="26"/>
  <c r="AB181" i="26"/>
  <c r="W194" i="26"/>
  <c r="S200" i="26"/>
  <c r="W212" i="26"/>
  <c r="S218" i="26"/>
  <c r="AE57" i="27"/>
  <c r="AC57" i="27"/>
  <c r="AA57" i="27"/>
  <c r="Z57" i="27"/>
  <c r="AB60" i="27"/>
  <c r="AA71" i="27"/>
  <c r="AE76" i="27"/>
  <c r="AC76" i="27"/>
  <c r="AB76" i="27"/>
  <c r="AC85" i="27"/>
  <c r="Z102" i="27"/>
  <c r="W104" i="27"/>
  <c r="X127" i="27"/>
  <c r="W127" i="27"/>
  <c r="Y127" i="27"/>
  <c r="V127" i="27"/>
  <c r="U127" i="27"/>
  <c r="T127" i="27"/>
  <c r="Z134" i="27"/>
  <c r="Y134" i="27"/>
  <c r="W134" i="27"/>
  <c r="V134" i="27"/>
  <c r="U134" i="27"/>
  <c r="T134" i="27"/>
  <c r="AA168" i="27"/>
  <c r="AD55" i="28"/>
  <c r="AB55" i="28"/>
  <c r="AF55" i="28"/>
  <c r="C5" i="28" s="1"/>
  <c r="AE55" i="28"/>
  <c r="AC55" i="28"/>
  <c r="AA55" i="28"/>
  <c r="Z55" i="28"/>
  <c r="U104" i="28"/>
  <c r="S104" i="28"/>
  <c r="X104" i="28"/>
  <c r="V104" i="28"/>
  <c r="T104" i="28"/>
  <c r="W104" i="28"/>
  <c r="AE169" i="28"/>
  <c r="AD169" i="28"/>
  <c r="AB169" i="28"/>
  <c r="AA169" i="28"/>
  <c r="Z169" i="28"/>
  <c r="Y169" i="28"/>
  <c r="AF169" i="28"/>
  <c r="AC169" i="28"/>
  <c r="AE70" i="27"/>
  <c r="AC70" i="27"/>
  <c r="AB70" i="27"/>
  <c r="AE87" i="27"/>
  <c r="AC87" i="27"/>
  <c r="AA87" i="27"/>
  <c r="Z87" i="27"/>
  <c r="X103" i="27"/>
  <c r="W103" i="27"/>
  <c r="Z103" i="27"/>
  <c r="AA165" i="27"/>
  <c r="Z165" i="27"/>
  <c r="AF165" i="27"/>
  <c r="AE165" i="27"/>
  <c r="AD165" i="27"/>
  <c r="AF175" i="27"/>
  <c r="AC175" i="27"/>
  <c r="AB175" i="27"/>
  <c r="AA175" i="27"/>
  <c r="AE175" i="27"/>
  <c r="U206" i="27"/>
  <c r="S206" i="27"/>
  <c r="W206" i="27"/>
  <c r="V206" i="27"/>
  <c r="T206" i="27"/>
  <c r="W213" i="27"/>
  <c r="U213" i="27"/>
  <c r="V213" i="27"/>
  <c r="T213" i="27"/>
  <c r="S213" i="27"/>
  <c r="R213" i="27"/>
  <c r="Q213" i="27"/>
  <c r="P213" i="27"/>
  <c r="W99" i="28"/>
  <c r="U99" i="28"/>
  <c r="S99" i="28"/>
  <c r="Z99" i="28"/>
  <c r="Y99" i="28"/>
  <c r="X99" i="28"/>
  <c r="V99" i="28"/>
  <c r="AF159" i="28"/>
  <c r="AE159" i="28"/>
  <c r="AD159" i="28"/>
  <c r="AC159" i="28"/>
  <c r="AB159" i="28"/>
  <c r="AA159" i="28"/>
  <c r="Y99" i="27"/>
  <c r="AE149" i="27"/>
  <c r="AD149" i="27"/>
  <c r="AE151" i="27"/>
  <c r="AA153" i="27"/>
  <c r="Z153" i="27"/>
  <c r="AC160" i="27"/>
  <c r="AB160" i="27"/>
  <c r="AE167" i="27"/>
  <c r="AD167" i="27"/>
  <c r="U224" i="27"/>
  <c r="S224" i="27"/>
  <c r="W224" i="27"/>
  <c r="V224" i="27"/>
  <c r="T224" i="27"/>
  <c r="R224" i="27"/>
  <c r="Q224" i="27"/>
  <c r="P224" i="27"/>
  <c r="AD61" i="28"/>
  <c r="AB61" i="28"/>
  <c r="AE61" i="28"/>
  <c r="AC61" i="28"/>
  <c r="AF61" i="28"/>
  <c r="Y112" i="28"/>
  <c r="W112" i="28"/>
  <c r="U112" i="28"/>
  <c r="S112" i="28"/>
  <c r="Z126" i="28"/>
  <c r="Y126" i="28"/>
  <c r="W126" i="28"/>
  <c r="U126" i="28"/>
  <c r="T126" i="28"/>
  <c r="S126" i="28"/>
  <c r="S133" i="28"/>
  <c r="T133" i="28"/>
  <c r="Z133" i="28"/>
  <c r="Y133" i="28"/>
  <c r="X133" i="28"/>
  <c r="W133" i="28"/>
  <c r="AD145" i="28"/>
  <c r="AB145" i="28"/>
  <c r="AA145" i="28"/>
  <c r="Z145" i="28"/>
  <c r="V108" i="27"/>
  <c r="U108" i="27"/>
  <c r="X115" i="27"/>
  <c r="W115" i="27"/>
  <c r="T119" i="27"/>
  <c r="S119" i="27"/>
  <c r="Z122" i="27"/>
  <c r="Y122" i="27"/>
  <c r="V126" i="27"/>
  <c r="U126" i="27"/>
  <c r="X133" i="27"/>
  <c r="W133" i="27"/>
  <c r="T137" i="27"/>
  <c r="S137" i="27"/>
  <c r="Y145" i="27"/>
  <c r="Y163" i="27"/>
  <c r="AA170" i="27"/>
  <c r="Z170" i="27"/>
  <c r="AF176" i="27"/>
  <c r="AE176" i="27"/>
  <c r="AD176" i="27"/>
  <c r="Y61" i="28"/>
  <c r="AD84" i="28"/>
  <c r="AB84" i="28"/>
  <c r="Z84" i="28"/>
  <c r="AE84" i="28"/>
  <c r="AA84" i="28"/>
  <c r="Y84" i="28"/>
  <c r="S103" i="28"/>
  <c r="T103" i="28"/>
  <c r="Z103" i="28"/>
  <c r="Y103" i="28"/>
  <c r="X103" i="28"/>
  <c r="W103" i="28"/>
  <c r="V103" i="28"/>
  <c r="U103" i="28"/>
  <c r="S109" i="28"/>
  <c r="T109" i="28"/>
  <c r="Z109" i="28"/>
  <c r="Y109" i="28"/>
  <c r="X109" i="28"/>
  <c r="W109" i="28"/>
  <c r="V109" i="28"/>
  <c r="U109" i="28"/>
  <c r="T112" i="28"/>
  <c r="V126" i="28"/>
  <c r="U133" i="28"/>
  <c r="Y145" i="28"/>
  <c r="V199" i="29"/>
  <c r="T199" i="29"/>
  <c r="R199" i="29"/>
  <c r="Q199" i="29"/>
  <c r="P199" i="29"/>
  <c r="W199" i="29"/>
  <c r="U199" i="29"/>
  <c r="S199" i="29"/>
  <c r="R226" i="29"/>
  <c r="Q226" i="29"/>
  <c r="W226" i="29"/>
  <c r="V226" i="29"/>
  <c r="S226" i="29"/>
  <c r="T226" i="29"/>
  <c r="U226" i="29"/>
  <c r="P226" i="29"/>
  <c r="U101" i="27"/>
  <c r="S108" i="27"/>
  <c r="S115" i="27"/>
  <c r="U119" i="27"/>
  <c r="S122" i="27"/>
  <c r="S126" i="27"/>
  <c r="S133" i="27"/>
  <c r="U137" i="27"/>
  <c r="AA149" i="27"/>
  <c r="AC153" i="27"/>
  <c r="AA156" i="27"/>
  <c r="AA160" i="27"/>
  <c r="AA167" i="27"/>
  <c r="Y170" i="27"/>
  <c r="Y176" i="27"/>
  <c r="K12" i="28"/>
  <c r="Z61" i="28"/>
  <c r="AC84" i="28"/>
  <c r="Y101" i="28"/>
  <c r="W101" i="28"/>
  <c r="Z101" i="28"/>
  <c r="V101" i="28"/>
  <c r="U101" i="28"/>
  <c r="X101" i="28"/>
  <c r="T101" i="28"/>
  <c r="V112" i="28"/>
  <c r="Z120" i="28"/>
  <c r="Y120" i="28"/>
  <c r="S120" i="28"/>
  <c r="Y124" i="28"/>
  <c r="W124" i="28"/>
  <c r="V124" i="28"/>
  <c r="U124" i="28"/>
  <c r="Z124" i="28"/>
  <c r="X124" i="28"/>
  <c r="T124" i="28"/>
  <c r="X126" i="28"/>
  <c r="V133" i="28"/>
  <c r="AC145" i="28"/>
  <c r="AF170" i="28"/>
  <c r="AD170" i="28"/>
  <c r="AC170" i="28"/>
  <c r="AB170" i="28"/>
  <c r="AA170" i="28"/>
  <c r="Z170" i="28"/>
  <c r="Y170" i="28"/>
  <c r="AD163" i="28"/>
  <c r="AB163" i="28"/>
  <c r="AA163" i="28"/>
  <c r="Z163" i="28"/>
  <c r="AF163" i="28"/>
  <c r="AE163" i="28"/>
  <c r="W203" i="28"/>
  <c r="V203" i="28"/>
  <c r="T203" i="28"/>
  <c r="S203" i="28"/>
  <c r="R203" i="28"/>
  <c r="Y115" i="29"/>
  <c r="W115" i="29"/>
  <c r="V115" i="29"/>
  <c r="T115" i="29"/>
  <c r="Z115" i="29"/>
  <c r="X115" i="29"/>
  <c r="U115" i="29"/>
  <c r="V194" i="29"/>
  <c r="T194" i="29"/>
  <c r="S194" i="29"/>
  <c r="P194" i="29"/>
  <c r="W194" i="29"/>
  <c r="U194" i="29"/>
  <c r="R194" i="29"/>
  <c r="Q194" i="29"/>
  <c r="V197" i="27"/>
  <c r="U197" i="27"/>
  <c r="W197" i="27"/>
  <c r="T197" i="27"/>
  <c r="U212" i="27"/>
  <c r="S212" i="27"/>
  <c r="T212" i="27"/>
  <c r="Q212" i="27"/>
  <c r="P212" i="27"/>
  <c r="U230" i="27"/>
  <c r="S230" i="27"/>
  <c r="T230" i="27"/>
  <c r="Q230" i="27"/>
  <c r="P230" i="27"/>
  <c r="W230" i="27"/>
  <c r="V230" i="27"/>
  <c r="AF92" i="28"/>
  <c r="AD92" i="28"/>
  <c r="AE92" i="28"/>
  <c r="AC92" i="28"/>
  <c r="S127" i="28"/>
  <c r="Z127" i="28"/>
  <c r="Y127" i="28"/>
  <c r="X127" i="28"/>
  <c r="W127" i="28"/>
  <c r="V127" i="28"/>
  <c r="U127" i="28"/>
  <c r="Y163" i="28"/>
  <c r="Q194" i="28"/>
  <c r="P194" i="28"/>
  <c r="W194" i="28"/>
  <c r="V194" i="28"/>
  <c r="U194" i="28"/>
  <c r="T194" i="28"/>
  <c r="S194" i="28"/>
  <c r="P203" i="28"/>
  <c r="K12" i="29"/>
  <c r="S115" i="29"/>
  <c r="AF173" i="29"/>
  <c r="AD173" i="29"/>
  <c r="AC173" i="29"/>
  <c r="Z173" i="29"/>
  <c r="AE173" i="29"/>
  <c r="AB173" i="29"/>
  <c r="AA173" i="29"/>
  <c r="AF57" i="28"/>
  <c r="AE57" i="28"/>
  <c r="K5" i="28" s="1"/>
  <c r="AC57" i="28"/>
  <c r="AB57" i="28"/>
  <c r="AD72" i="28"/>
  <c r="AB72" i="28"/>
  <c r="Z72" i="28"/>
  <c r="W105" i="28"/>
  <c r="U105" i="28"/>
  <c r="S105" i="28"/>
  <c r="Z105" i="28"/>
  <c r="Y107" i="28"/>
  <c r="W107" i="28"/>
  <c r="Z107" i="28"/>
  <c r="V107" i="28"/>
  <c r="U107" i="28"/>
  <c r="T107" i="28"/>
  <c r="Y113" i="28"/>
  <c r="W113" i="28"/>
  <c r="Z113" i="28"/>
  <c r="V113" i="28"/>
  <c r="U113" i="28"/>
  <c r="T113" i="28"/>
  <c r="AF153" i="28"/>
  <c r="AE153" i="28"/>
  <c r="AD153" i="28"/>
  <c r="AD157" i="28"/>
  <c r="AB157" i="28"/>
  <c r="AA157" i="28"/>
  <c r="Z157" i="28"/>
  <c r="AE175" i="28"/>
  <c r="AD175" i="28"/>
  <c r="AB175" i="28"/>
  <c r="AA175" i="28"/>
  <c r="Z175" i="28"/>
  <c r="AC175" i="28"/>
  <c r="AF182" i="28"/>
  <c r="AD182" i="28"/>
  <c r="AC182" i="28"/>
  <c r="AB182" i="28"/>
  <c r="AE182" i="28"/>
  <c r="AA182" i="28"/>
  <c r="AD86" i="29"/>
  <c r="AB86" i="29"/>
  <c r="Z86" i="29"/>
  <c r="AF86" i="29"/>
  <c r="AE86" i="29"/>
  <c r="AC86" i="29"/>
  <c r="AA86" i="29"/>
  <c r="Y86" i="29"/>
  <c r="P201" i="29"/>
  <c r="W201" i="29"/>
  <c r="V201" i="29"/>
  <c r="S201" i="29"/>
  <c r="Q201" i="29"/>
  <c r="W211" i="29"/>
  <c r="U211" i="29"/>
  <c r="T211" i="29"/>
  <c r="Q211" i="29"/>
  <c r="V211" i="29"/>
  <c r="S211" i="29"/>
  <c r="V196" i="27"/>
  <c r="T196" i="27"/>
  <c r="S196" i="27"/>
  <c r="W202" i="27"/>
  <c r="U202" i="27"/>
  <c r="T202" i="27"/>
  <c r="Y57" i="28"/>
  <c r="AF68" i="28"/>
  <c r="AD68" i="28"/>
  <c r="AE68" i="28"/>
  <c r="Y72" i="28"/>
  <c r="AF74" i="28"/>
  <c r="AD74" i="28"/>
  <c r="AC74" i="28"/>
  <c r="AB74" i="28"/>
  <c r="AF85" i="28"/>
  <c r="AD85" i="28"/>
  <c r="AB85" i="28"/>
  <c r="T105" i="28"/>
  <c r="S107" i="28"/>
  <c r="W111" i="28"/>
  <c r="U111" i="28"/>
  <c r="S111" i="28"/>
  <c r="Z111" i="28"/>
  <c r="Y111" i="28"/>
  <c r="S113" i="28"/>
  <c r="Y119" i="28"/>
  <c r="X119" i="28"/>
  <c r="W119" i="28"/>
  <c r="Z119" i="28"/>
  <c r="V119" i="28"/>
  <c r="S121" i="28"/>
  <c r="X121" i="28"/>
  <c r="V121" i="28"/>
  <c r="U121" i="28"/>
  <c r="T121" i="28"/>
  <c r="W135" i="28"/>
  <c r="U135" i="28"/>
  <c r="T135" i="28"/>
  <c r="S135" i="28"/>
  <c r="Z135" i="28"/>
  <c r="Y153" i="28"/>
  <c r="Y157" i="28"/>
  <c r="AF171" i="28"/>
  <c r="AE171" i="28"/>
  <c r="AD171" i="28"/>
  <c r="Z171" i="28"/>
  <c r="Y175" i="28"/>
  <c r="Y182" i="28"/>
  <c r="R201" i="29"/>
  <c r="P211" i="29"/>
  <c r="W229" i="29"/>
  <c r="U229" i="29"/>
  <c r="T229" i="29"/>
  <c r="Q229" i="29"/>
  <c r="V229" i="29"/>
  <c r="S229" i="29"/>
  <c r="R229" i="29"/>
  <c r="AA163" i="30"/>
  <c r="AD163" i="30"/>
  <c r="AC163" i="30"/>
  <c r="AB163" i="30"/>
  <c r="AF163" i="30"/>
  <c r="AE163" i="30"/>
  <c r="Z163" i="30"/>
  <c r="Y163" i="30"/>
  <c r="W226" i="27"/>
  <c r="S226" i="27"/>
  <c r="Q226" i="27"/>
  <c r="P226" i="27"/>
  <c r="Z57" i="28"/>
  <c r="AF62" i="28"/>
  <c r="AD62" i="28"/>
  <c r="AD66" i="28"/>
  <c r="AB66" i="28"/>
  <c r="Z66" i="28"/>
  <c r="AA72" i="28"/>
  <c r="AF91" i="28"/>
  <c r="AD91" i="28"/>
  <c r="AB91" i="28"/>
  <c r="AC91" i="28"/>
  <c r="AA91" i="28"/>
  <c r="V105" i="28"/>
  <c r="X107" i="28"/>
  <c r="X113" i="28"/>
  <c r="Z153" i="28"/>
  <c r="AC157" i="28"/>
  <c r="AF175" i="28"/>
  <c r="Z182" i="28"/>
  <c r="AF63" i="29"/>
  <c r="AB63" i="29"/>
  <c r="AE63" i="29"/>
  <c r="AD63" i="29"/>
  <c r="Y63" i="29"/>
  <c r="AA63" i="29"/>
  <c r="Z63" i="29"/>
  <c r="T201" i="29"/>
  <c r="R211" i="29"/>
  <c r="P229" i="29"/>
  <c r="R193" i="27"/>
  <c r="Q196" i="27"/>
  <c r="R199" i="27"/>
  <c r="Q202" i="27"/>
  <c r="S205" i="27"/>
  <c r="Q205" i="27"/>
  <c r="U205" i="27"/>
  <c r="R205" i="27"/>
  <c r="P205" i="27"/>
  <c r="R226" i="27"/>
  <c r="AB54" i="28"/>
  <c r="E5" i="28" s="1"/>
  <c r="Z54" i="28"/>
  <c r="G5" i="28" s="1"/>
  <c r="AE54" i="28"/>
  <c r="AD54" i="28"/>
  <c r="AA57" i="28"/>
  <c r="Y62" i="28"/>
  <c r="Y66" i="28"/>
  <c r="Z68" i="28"/>
  <c r="AC72" i="28"/>
  <c r="Z74" i="28"/>
  <c r="Z85" i="28"/>
  <c r="Y91" i="28"/>
  <c r="Y102" i="28"/>
  <c r="Z102" i="28"/>
  <c r="X105" i="28"/>
  <c r="V111" i="28"/>
  <c r="W117" i="28"/>
  <c r="U117" i="28"/>
  <c r="T117" i="28"/>
  <c r="S117" i="28"/>
  <c r="Z117" i="28"/>
  <c r="T119" i="28"/>
  <c r="Y121" i="28"/>
  <c r="Z132" i="28"/>
  <c r="Y132" i="28"/>
  <c r="X132" i="28"/>
  <c r="W132" i="28"/>
  <c r="X135" i="28"/>
  <c r="AF147" i="28"/>
  <c r="AE147" i="28"/>
  <c r="AD147" i="28"/>
  <c r="AD151" i="28"/>
  <c r="AB151" i="28"/>
  <c r="AA151" i="28"/>
  <c r="Z151" i="28"/>
  <c r="AA153" i="28"/>
  <c r="AE157" i="28"/>
  <c r="AA171" i="28"/>
  <c r="AC63" i="29"/>
  <c r="Y127" i="29"/>
  <c r="W127" i="29"/>
  <c r="V127" i="29"/>
  <c r="Z127" i="29"/>
  <c r="X127" i="29"/>
  <c r="U127" i="29"/>
  <c r="T127" i="29"/>
  <c r="AF148" i="29"/>
  <c r="AD148" i="29"/>
  <c r="AB148" i="29"/>
  <c r="AA148" i="29"/>
  <c r="AE148" i="29"/>
  <c r="AC148" i="29"/>
  <c r="Z148" i="29"/>
  <c r="Y148" i="29"/>
  <c r="U201" i="29"/>
  <c r="Y174" i="27"/>
  <c r="S193" i="27"/>
  <c r="R196" i="27"/>
  <c r="S199" i="27"/>
  <c r="R202" i="27"/>
  <c r="T205" i="27"/>
  <c r="T226" i="27"/>
  <c r="AD57" i="28"/>
  <c r="Z62" i="28"/>
  <c r="AA66" i="28"/>
  <c r="AA68" i="28"/>
  <c r="AE72" i="28"/>
  <c r="AA74" i="28"/>
  <c r="AA85" i="28"/>
  <c r="Z91" i="28"/>
  <c r="Y100" i="28"/>
  <c r="W100" i="28"/>
  <c r="U100" i="28"/>
  <c r="S100" i="28"/>
  <c r="Y105" i="28"/>
  <c r="Y108" i="28"/>
  <c r="Z108" i="28"/>
  <c r="X108" i="28"/>
  <c r="X111" i="28"/>
  <c r="Y114" i="28"/>
  <c r="Z114" i="28"/>
  <c r="X114" i="28"/>
  <c r="U119" i="28"/>
  <c r="Z121" i="28"/>
  <c r="Y130" i="28"/>
  <c r="W130" i="28"/>
  <c r="V130" i="28"/>
  <c r="U130" i="28"/>
  <c r="Y135" i="28"/>
  <c r="Z138" i="28"/>
  <c r="Y138" i="28"/>
  <c r="S138" i="28"/>
  <c r="AB153" i="28"/>
  <c r="AF157" i="28"/>
  <c r="AB171" i="28"/>
  <c r="AF176" i="28"/>
  <c r="AD176" i="28"/>
  <c r="AC176" i="28"/>
  <c r="AB176" i="28"/>
  <c r="AE176" i="28"/>
  <c r="AA176" i="28"/>
  <c r="Z176" i="28"/>
  <c r="AD70" i="29"/>
  <c r="AF70" i="29"/>
  <c r="AE70" i="29"/>
  <c r="AC70" i="29"/>
  <c r="Y70" i="29"/>
  <c r="AB70" i="29"/>
  <c r="AF76" i="29"/>
  <c r="AD76" i="29"/>
  <c r="AE76" i="29"/>
  <c r="AC76" i="29"/>
  <c r="AB76" i="29"/>
  <c r="AA76" i="29"/>
  <c r="Z76" i="29"/>
  <c r="Y76" i="29"/>
  <c r="U112" i="29"/>
  <c r="S112" i="29"/>
  <c r="Z112" i="29"/>
  <c r="Y112" i="29"/>
  <c r="X112" i="29"/>
  <c r="W112" i="29"/>
  <c r="V112" i="29"/>
  <c r="T112" i="29"/>
  <c r="S117" i="29"/>
  <c r="Z117" i="29"/>
  <c r="Y117" i="29"/>
  <c r="X117" i="29"/>
  <c r="W117" i="29"/>
  <c r="V117" i="29"/>
  <c r="U117" i="29"/>
  <c r="S127" i="29"/>
  <c r="T193" i="27"/>
  <c r="U196" i="27"/>
  <c r="T199" i="27"/>
  <c r="S202" i="27"/>
  <c r="W220" i="27"/>
  <c r="U220" i="27"/>
  <c r="T220" i="27"/>
  <c r="U226" i="27"/>
  <c r="AA62" i="28"/>
  <c r="AC66" i="28"/>
  <c r="AB68" i="28"/>
  <c r="AF72" i="28"/>
  <c r="AE74" i="28"/>
  <c r="AC85" i="28"/>
  <c r="AE91" i="28"/>
  <c r="AC153" i="28"/>
  <c r="AC171" i="28"/>
  <c r="K16" i="29"/>
  <c r="T215" i="29"/>
  <c r="S215" i="29"/>
  <c r="W215" i="29"/>
  <c r="V215" i="29"/>
  <c r="Q215" i="29"/>
  <c r="U215" i="29"/>
  <c r="R215" i="29"/>
  <c r="V192" i="28"/>
  <c r="U192" i="28"/>
  <c r="T192" i="28"/>
  <c r="W197" i="28"/>
  <c r="V197" i="28"/>
  <c r="T197" i="28"/>
  <c r="S197" i="28"/>
  <c r="R197" i="28"/>
  <c r="U209" i="28"/>
  <c r="W209" i="28"/>
  <c r="V209" i="28"/>
  <c r="Q209" i="28"/>
  <c r="W214" i="28"/>
  <c r="S214" i="28"/>
  <c r="Q214" i="28"/>
  <c r="P214" i="28"/>
  <c r="U214" i="28"/>
  <c r="K14" i="29"/>
  <c r="AF69" i="29"/>
  <c r="AB69" i="29"/>
  <c r="AE69" i="29"/>
  <c r="AD69" i="29"/>
  <c r="AC69" i="29"/>
  <c r="AA69" i="29"/>
  <c r="Z69" i="29"/>
  <c r="Y69" i="29"/>
  <c r="Y104" i="29"/>
  <c r="Z104" i="29"/>
  <c r="X104" i="29"/>
  <c r="T104" i="29"/>
  <c r="Y133" i="29"/>
  <c r="W133" i="29"/>
  <c r="V133" i="29"/>
  <c r="T133" i="29"/>
  <c r="S135" i="29"/>
  <c r="Z135" i="29"/>
  <c r="Y135" i="29"/>
  <c r="X135" i="29"/>
  <c r="W135" i="29"/>
  <c r="V135" i="29"/>
  <c r="P196" i="29"/>
  <c r="W196" i="29"/>
  <c r="T196" i="29"/>
  <c r="V196" i="29"/>
  <c r="U196" i="29"/>
  <c r="S196" i="29"/>
  <c r="R196" i="29"/>
  <c r="P215" i="29"/>
  <c r="V228" i="29"/>
  <c r="U228" i="29"/>
  <c r="W228" i="29"/>
  <c r="T228" i="29"/>
  <c r="S228" i="29"/>
  <c r="Q228" i="29"/>
  <c r="P228" i="29"/>
  <c r="AC79" i="30"/>
  <c r="AF79" i="30"/>
  <c r="AE79" i="30"/>
  <c r="AD79" i="30"/>
  <c r="AB79" i="30"/>
  <c r="Z79" i="30"/>
  <c r="Y79" i="30"/>
  <c r="Z137" i="30"/>
  <c r="Y137" i="30"/>
  <c r="X137" i="30"/>
  <c r="V137" i="30"/>
  <c r="U137" i="30"/>
  <c r="T137" i="30"/>
  <c r="S137" i="30"/>
  <c r="W137" i="30"/>
  <c r="AF84" i="31"/>
  <c r="AE84" i="31"/>
  <c r="AD84" i="31"/>
  <c r="AC84" i="31"/>
  <c r="AB84" i="31"/>
  <c r="AA84" i="31"/>
  <c r="Z84" i="31"/>
  <c r="Y84" i="31"/>
  <c r="W213" i="31"/>
  <c r="V213" i="31"/>
  <c r="U213" i="31"/>
  <c r="T213" i="31"/>
  <c r="P213" i="31"/>
  <c r="Q213" i="31"/>
  <c r="S213" i="31"/>
  <c r="R213" i="31"/>
  <c r="U110" i="28"/>
  <c r="S110" i="28"/>
  <c r="W129" i="28"/>
  <c r="U129" i="28"/>
  <c r="T129" i="28"/>
  <c r="S129" i="28"/>
  <c r="Y131" i="28"/>
  <c r="X131" i="28"/>
  <c r="W131" i="28"/>
  <c r="AF146" i="28"/>
  <c r="AD146" i="28"/>
  <c r="AC146" i="28"/>
  <c r="AB146" i="28"/>
  <c r="AF152" i="28"/>
  <c r="AD152" i="28"/>
  <c r="AC152" i="28"/>
  <c r="AB152" i="28"/>
  <c r="AF158" i="28"/>
  <c r="AD158" i="28"/>
  <c r="AC158" i="28"/>
  <c r="AB158" i="28"/>
  <c r="AF164" i="28"/>
  <c r="AD164" i="28"/>
  <c r="AC164" i="28"/>
  <c r="AB164" i="28"/>
  <c r="W192" i="28"/>
  <c r="V198" i="28"/>
  <c r="U198" i="28"/>
  <c r="T198" i="28"/>
  <c r="P198" i="28"/>
  <c r="U215" i="28"/>
  <c r="V215" i="28"/>
  <c r="T215" i="28"/>
  <c r="R215" i="28"/>
  <c r="Q215" i="28"/>
  <c r="P215" i="28"/>
  <c r="AF87" i="29"/>
  <c r="AD87" i="29"/>
  <c r="AB87" i="29"/>
  <c r="Z87" i="29"/>
  <c r="AF173" i="30"/>
  <c r="AC173" i="30"/>
  <c r="AA173" i="30"/>
  <c r="Z173" i="30"/>
  <c r="Y173" i="30"/>
  <c r="AE173" i="30"/>
  <c r="AD173" i="30"/>
  <c r="AB173" i="30"/>
  <c r="AF56" i="28"/>
  <c r="AD56" i="28"/>
  <c r="AB60" i="28"/>
  <c r="Z60" i="28"/>
  <c r="T110" i="28"/>
  <c r="V129" i="28"/>
  <c r="S131" i="28"/>
  <c r="Y146" i="28"/>
  <c r="Y152" i="28"/>
  <c r="Y158" i="28"/>
  <c r="Y164" i="28"/>
  <c r="Q198" i="28"/>
  <c r="Q200" i="28"/>
  <c r="P200" i="28"/>
  <c r="T200" i="28"/>
  <c r="V204" i="28"/>
  <c r="U204" i="28"/>
  <c r="T204" i="28"/>
  <c r="P204" i="28"/>
  <c r="S215" i="28"/>
  <c r="Q223" i="28"/>
  <c r="V223" i="28"/>
  <c r="U223" i="28"/>
  <c r="S223" i="28"/>
  <c r="R223" i="28"/>
  <c r="P223" i="28"/>
  <c r="AD56" i="29"/>
  <c r="Z56" i="29"/>
  <c r="AF56" i="29"/>
  <c r="AE56" i="29"/>
  <c r="Y56" i="29"/>
  <c r="Z66" i="29"/>
  <c r="AF66" i="29"/>
  <c r="AE66" i="29"/>
  <c r="AD66" i="29"/>
  <c r="AC66" i="29"/>
  <c r="AB66" i="29"/>
  <c r="Y87" i="29"/>
  <c r="Y109" i="29"/>
  <c r="W109" i="29"/>
  <c r="V109" i="29"/>
  <c r="Z109" i="29"/>
  <c r="X109" i="29"/>
  <c r="U109" i="29"/>
  <c r="T109" i="29"/>
  <c r="AF160" i="29"/>
  <c r="AD160" i="29"/>
  <c r="AB160" i="29"/>
  <c r="AA160" i="29"/>
  <c r="Y160" i="29"/>
  <c r="AD171" i="29"/>
  <c r="AB171" i="29"/>
  <c r="Z171" i="29"/>
  <c r="Y171" i="29"/>
  <c r="AF171" i="29"/>
  <c r="AE171" i="29"/>
  <c r="AC171" i="29"/>
  <c r="AD183" i="29"/>
  <c r="AB183" i="29"/>
  <c r="Z183" i="29"/>
  <c r="Y183" i="29"/>
  <c r="AC183" i="29"/>
  <c r="AC164" i="30"/>
  <c r="Z164" i="30"/>
  <c r="AF164" i="30"/>
  <c r="Y164" i="30"/>
  <c r="AD164" i="30"/>
  <c r="AB164" i="30"/>
  <c r="AE164" i="30"/>
  <c r="P194" i="27"/>
  <c r="AF73" i="28"/>
  <c r="AD73" i="28"/>
  <c r="AB73" i="28"/>
  <c r="AF86" i="28"/>
  <c r="AD86" i="28"/>
  <c r="Y118" i="28"/>
  <c r="W118" i="28"/>
  <c r="V118" i="28"/>
  <c r="U118" i="28"/>
  <c r="Y136" i="28"/>
  <c r="W136" i="28"/>
  <c r="V136" i="28"/>
  <c r="U136" i="28"/>
  <c r="Z146" i="28"/>
  <c r="Z152" i="28"/>
  <c r="Z158" i="28"/>
  <c r="Z164" i="28"/>
  <c r="W191" i="28"/>
  <c r="V191" i="28"/>
  <c r="T191" i="28"/>
  <c r="S191" i="28"/>
  <c r="R191" i="28"/>
  <c r="U196" i="28"/>
  <c r="T196" i="28"/>
  <c r="R196" i="28"/>
  <c r="Q196" i="28"/>
  <c r="P196" i="28"/>
  <c r="R198" i="28"/>
  <c r="Q206" i="28"/>
  <c r="P206" i="28"/>
  <c r="T206" i="28"/>
  <c r="U213" i="28"/>
  <c r="Q213" i="28"/>
  <c r="W213" i="28"/>
  <c r="V213" i="28"/>
  <c r="P213" i="28"/>
  <c r="W215" i="28"/>
  <c r="Q217" i="28"/>
  <c r="W217" i="28"/>
  <c r="V217" i="28"/>
  <c r="R217" i="28"/>
  <c r="T223" i="28"/>
  <c r="AD74" i="29"/>
  <c r="Z74" i="29"/>
  <c r="AF74" i="29"/>
  <c r="AE74" i="29"/>
  <c r="Y74" i="29"/>
  <c r="AA87" i="29"/>
  <c r="U130" i="29"/>
  <c r="S130" i="29"/>
  <c r="Z130" i="29"/>
  <c r="Y130" i="29"/>
  <c r="X130" i="29"/>
  <c r="W130" i="29"/>
  <c r="Z160" i="29"/>
  <c r="AA171" i="29"/>
  <c r="AA183" i="29"/>
  <c r="T221" i="29"/>
  <c r="S221" i="29"/>
  <c r="W221" i="29"/>
  <c r="V221" i="29"/>
  <c r="U221" i="29"/>
  <c r="Q221" i="29"/>
  <c r="P221" i="29"/>
  <c r="K17" i="30"/>
  <c r="AE53" i="30"/>
  <c r="AD53" i="30"/>
  <c r="AC53" i="30"/>
  <c r="AB53" i="30"/>
  <c r="Y53" i="30"/>
  <c r="AF53" i="30"/>
  <c r="AA53" i="30"/>
  <c r="AA164" i="30"/>
  <c r="AF183" i="28"/>
  <c r="AE183" i="28"/>
  <c r="AD183" i="28"/>
  <c r="U202" i="28"/>
  <c r="T202" i="28"/>
  <c r="R202" i="28"/>
  <c r="Q202" i="28"/>
  <c r="P202" i="28"/>
  <c r="W208" i="28"/>
  <c r="S208" i="28"/>
  <c r="V208" i="28"/>
  <c r="T208" i="28"/>
  <c r="R208" i="28"/>
  <c r="Q208" i="28"/>
  <c r="U227" i="28"/>
  <c r="W227" i="28"/>
  <c r="T227" i="28"/>
  <c r="S227" i="28"/>
  <c r="R227" i="28"/>
  <c r="AD62" i="29"/>
  <c r="Z62" i="29"/>
  <c r="AF62" i="29"/>
  <c r="AE62" i="29"/>
  <c r="AC62" i="29"/>
  <c r="AB62" i="29"/>
  <c r="AA62" i="29"/>
  <c r="Y62" i="29"/>
  <c r="W207" i="27"/>
  <c r="U207" i="27"/>
  <c r="S211" i="27"/>
  <c r="Q211" i="27"/>
  <c r="U218" i="27"/>
  <c r="S218" i="27"/>
  <c r="W225" i="27"/>
  <c r="U225" i="27"/>
  <c r="S229" i="27"/>
  <c r="Q229" i="27"/>
  <c r="AA56" i="28"/>
  <c r="AC60" i="28"/>
  <c r="Z73" i="28"/>
  <c r="AF79" i="28"/>
  <c r="AD79" i="28"/>
  <c r="AB79" i="28"/>
  <c r="Z86" i="28"/>
  <c r="X110" i="28"/>
  <c r="T118" i="28"/>
  <c r="W123" i="28"/>
  <c r="U123" i="28"/>
  <c r="T123" i="28"/>
  <c r="S123" i="28"/>
  <c r="Y125" i="28"/>
  <c r="X125" i="28"/>
  <c r="W125" i="28"/>
  <c r="Z129" i="28"/>
  <c r="V131" i="28"/>
  <c r="T136" i="28"/>
  <c r="AE146" i="28"/>
  <c r="AE152" i="28"/>
  <c r="AE158" i="28"/>
  <c r="AE164" i="28"/>
  <c r="AF177" i="28"/>
  <c r="AE177" i="28"/>
  <c r="AD177" i="28"/>
  <c r="AE181" i="28"/>
  <c r="AD181" i="28"/>
  <c r="AB181" i="28"/>
  <c r="AA181" i="28"/>
  <c r="Z181" i="28"/>
  <c r="Y183" i="28"/>
  <c r="Q191" i="28"/>
  <c r="V196" i="28"/>
  <c r="W198" i="28"/>
  <c r="U200" i="28"/>
  <c r="S202" i="28"/>
  <c r="S204" i="28"/>
  <c r="S206" i="28"/>
  <c r="P208" i="28"/>
  <c r="S213" i="28"/>
  <c r="S217" i="28"/>
  <c r="P227" i="28"/>
  <c r="AC56" i="29"/>
  <c r="AB74" i="29"/>
  <c r="AF82" i="29"/>
  <c r="AD82" i="29"/>
  <c r="AE82" i="29"/>
  <c r="AC82" i="29"/>
  <c r="AB82" i="29"/>
  <c r="AA82" i="29"/>
  <c r="Z82" i="29"/>
  <c r="Y82" i="29"/>
  <c r="AE87" i="29"/>
  <c r="Y103" i="29"/>
  <c r="W103" i="29"/>
  <c r="Z103" i="29"/>
  <c r="X103" i="29"/>
  <c r="V103" i="29"/>
  <c r="U103" i="29"/>
  <c r="T103" i="29"/>
  <c r="Y122" i="29"/>
  <c r="X122" i="29"/>
  <c r="Z122" i="29"/>
  <c r="W122" i="29"/>
  <c r="V122" i="29"/>
  <c r="U122" i="29"/>
  <c r="V130" i="29"/>
  <c r="AE160" i="29"/>
  <c r="AF183" i="29"/>
  <c r="R214" i="29"/>
  <c r="Q214" i="29"/>
  <c r="W214" i="29"/>
  <c r="V214" i="29"/>
  <c r="U214" i="29"/>
  <c r="S214" i="29"/>
  <c r="P214" i="29"/>
  <c r="T214" i="29"/>
  <c r="W217" i="29"/>
  <c r="V217" i="29"/>
  <c r="U217" i="29"/>
  <c r="T217" i="29"/>
  <c r="S217" i="29"/>
  <c r="Q217" i="29"/>
  <c r="P217" i="29"/>
  <c r="K15" i="30"/>
  <c r="R199" i="28"/>
  <c r="V201" i="28"/>
  <c r="R205" i="28"/>
  <c r="W207" i="28"/>
  <c r="W211" i="28"/>
  <c r="W220" i="28"/>
  <c r="S220" i="28"/>
  <c r="AF54" i="29"/>
  <c r="AB60" i="29"/>
  <c r="AC64" i="29"/>
  <c r="AF72" i="29"/>
  <c r="X99" i="29"/>
  <c r="W101" i="29"/>
  <c r="U101" i="29"/>
  <c r="S101" i="29"/>
  <c r="X105" i="29"/>
  <c r="W107" i="29"/>
  <c r="U107" i="29"/>
  <c r="S107" i="29"/>
  <c r="Y120" i="29"/>
  <c r="W120" i="29"/>
  <c r="U120" i="29"/>
  <c r="T120" i="29"/>
  <c r="Y138" i="29"/>
  <c r="W138" i="29"/>
  <c r="U138" i="29"/>
  <c r="T138" i="29"/>
  <c r="AF154" i="29"/>
  <c r="AD154" i="29"/>
  <c r="AB154" i="29"/>
  <c r="AA154" i="29"/>
  <c r="AD177" i="29"/>
  <c r="AB177" i="29"/>
  <c r="Z177" i="29"/>
  <c r="Y177" i="29"/>
  <c r="AF179" i="29"/>
  <c r="AD179" i="29"/>
  <c r="AC179" i="29"/>
  <c r="Z179" i="29"/>
  <c r="T203" i="29"/>
  <c r="S203" i="29"/>
  <c r="W203" i="29"/>
  <c r="U203" i="29"/>
  <c r="Q203" i="29"/>
  <c r="P203" i="29"/>
  <c r="AF61" i="30"/>
  <c r="AE61" i="30"/>
  <c r="AD61" i="30"/>
  <c r="AC61" i="30"/>
  <c r="AB61" i="30"/>
  <c r="Z61" i="30"/>
  <c r="Y61" i="30"/>
  <c r="Z125" i="30"/>
  <c r="Y125" i="30"/>
  <c r="X125" i="30"/>
  <c r="W125" i="30"/>
  <c r="T125" i="30"/>
  <c r="S203" i="30"/>
  <c r="P203" i="30"/>
  <c r="W203" i="30"/>
  <c r="V203" i="30"/>
  <c r="U203" i="30"/>
  <c r="R203" i="30"/>
  <c r="V193" i="28"/>
  <c r="V199" i="28"/>
  <c r="V205" i="28"/>
  <c r="U219" i="28"/>
  <c r="Q219" i="28"/>
  <c r="T220" i="28"/>
  <c r="AF60" i="29"/>
  <c r="U100" i="29"/>
  <c r="S100" i="29"/>
  <c r="Y101" i="29"/>
  <c r="U106" i="29"/>
  <c r="S106" i="29"/>
  <c r="Y107" i="29"/>
  <c r="Y114" i="29"/>
  <c r="W114" i="29"/>
  <c r="U114" i="29"/>
  <c r="T114" i="29"/>
  <c r="Z120" i="29"/>
  <c r="Y132" i="29"/>
  <c r="W132" i="29"/>
  <c r="U132" i="29"/>
  <c r="T132" i="29"/>
  <c r="Z138" i="29"/>
  <c r="AE154" i="29"/>
  <c r="AD165" i="29"/>
  <c r="AB165" i="29"/>
  <c r="Z165" i="29"/>
  <c r="Y165" i="29"/>
  <c r="AF167" i="29"/>
  <c r="AD167" i="29"/>
  <c r="AC167" i="29"/>
  <c r="Z167" i="29"/>
  <c r="AF177" i="29"/>
  <c r="AE179" i="29"/>
  <c r="V204" i="29"/>
  <c r="U204" i="29"/>
  <c r="W204" i="29"/>
  <c r="T204" i="29"/>
  <c r="Q204" i="29"/>
  <c r="AE59" i="30"/>
  <c r="AD59" i="30"/>
  <c r="AC59" i="30"/>
  <c r="AB59" i="30"/>
  <c r="AA59" i="30"/>
  <c r="Z59" i="30"/>
  <c r="AF75" i="30"/>
  <c r="AE75" i="30"/>
  <c r="AD75" i="30"/>
  <c r="AB75" i="30"/>
  <c r="AA75" i="30"/>
  <c r="Z75" i="30"/>
  <c r="Y75" i="30"/>
  <c r="U220" i="28"/>
  <c r="W226" i="28"/>
  <c r="S226" i="28"/>
  <c r="AF88" i="29"/>
  <c r="AD88" i="29"/>
  <c r="AD92" i="29"/>
  <c r="AB92" i="29"/>
  <c r="Z92" i="29"/>
  <c r="S111" i="29"/>
  <c r="Z111" i="29"/>
  <c r="Y116" i="29"/>
  <c r="X116" i="29"/>
  <c r="U124" i="29"/>
  <c r="S124" i="29"/>
  <c r="S129" i="29"/>
  <c r="Z129" i="29"/>
  <c r="Y134" i="29"/>
  <c r="X134" i="29"/>
  <c r="AD159" i="29"/>
  <c r="AB159" i="29"/>
  <c r="Z159" i="29"/>
  <c r="Y159" i="29"/>
  <c r="AF161" i="29"/>
  <c r="AD161" i="29"/>
  <c r="AC161" i="29"/>
  <c r="R191" i="29"/>
  <c r="P191" i="29"/>
  <c r="V191" i="29"/>
  <c r="V200" i="29"/>
  <c r="T200" i="29"/>
  <c r="S200" i="29"/>
  <c r="P200" i="29"/>
  <c r="W218" i="29"/>
  <c r="V218" i="29"/>
  <c r="T218" i="29"/>
  <c r="S218" i="29"/>
  <c r="P218" i="29"/>
  <c r="V222" i="29"/>
  <c r="U222" i="29"/>
  <c r="W222" i="29"/>
  <c r="T222" i="29"/>
  <c r="Q222" i="29"/>
  <c r="X118" i="30"/>
  <c r="V118" i="30"/>
  <c r="Z118" i="30"/>
  <c r="Y118" i="30"/>
  <c r="W118" i="30"/>
  <c r="U118" i="30"/>
  <c r="T118" i="30"/>
  <c r="S116" i="28"/>
  <c r="S122" i="28"/>
  <c r="S128" i="28"/>
  <c r="S134" i="28"/>
  <c r="P195" i="28"/>
  <c r="P201" i="28"/>
  <c r="P207" i="28"/>
  <c r="P211" i="28"/>
  <c r="V220" i="28"/>
  <c r="P226" i="28"/>
  <c r="Y54" i="29"/>
  <c r="Y72" i="29"/>
  <c r="Y88" i="29"/>
  <c r="Y92" i="29"/>
  <c r="T111" i="29"/>
  <c r="S116" i="29"/>
  <c r="Y121" i="29"/>
  <c r="W121" i="29"/>
  <c r="V121" i="29"/>
  <c r="T124" i="29"/>
  <c r="T129" i="29"/>
  <c r="S134" i="29"/>
  <c r="AD153" i="29"/>
  <c r="AB153" i="29"/>
  <c r="Z153" i="29"/>
  <c r="Y153" i="29"/>
  <c r="AF155" i="29"/>
  <c r="AD155" i="29"/>
  <c r="AC155" i="29"/>
  <c r="AA159" i="29"/>
  <c r="Y161" i="29"/>
  <c r="Q191" i="29"/>
  <c r="Q200" i="29"/>
  <c r="Q218" i="29"/>
  <c r="P222" i="29"/>
  <c r="Y71" i="30"/>
  <c r="AF71" i="30"/>
  <c r="AE71" i="30"/>
  <c r="AD71" i="30"/>
  <c r="AC71" i="30"/>
  <c r="AA71" i="30"/>
  <c r="Z71" i="30"/>
  <c r="Z102" i="30"/>
  <c r="X102" i="30"/>
  <c r="W102" i="30"/>
  <c r="T102" i="30"/>
  <c r="T105" i="30"/>
  <c r="Y105" i="30"/>
  <c r="X105" i="30"/>
  <c r="W105" i="30"/>
  <c r="V105" i="30"/>
  <c r="Z105" i="30"/>
  <c r="U105" i="30"/>
  <c r="Z114" i="30"/>
  <c r="Y114" i="30"/>
  <c r="X114" i="30"/>
  <c r="W114" i="30"/>
  <c r="V114" i="30"/>
  <c r="U114" i="30"/>
  <c r="T114" i="30"/>
  <c r="S114" i="30"/>
  <c r="S118" i="30"/>
  <c r="AF57" i="29"/>
  <c r="AB57" i="29"/>
  <c r="AD68" i="29"/>
  <c r="Z68" i="29"/>
  <c r="AF75" i="29"/>
  <c r="AD75" i="29"/>
  <c r="AB75" i="29"/>
  <c r="E5" i="29" s="1"/>
  <c r="Y102" i="29"/>
  <c r="W102" i="29"/>
  <c r="U102" i="29"/>
  <c r="Y108" i="29"/>
  <c r="W108" i="29"/>
  <c r="U108" i="29"/>
  <c r="AD147" i="29"/>
  <c r="AB147" i="29"/>
  <c r="Z147" i="29"/>
  <c r="Y147" i="29"/>
  <c r="AF149" i="29"/>
  <c r="AD149" i="29"/>
  <c r="AC149" i="29"/>
  <c r="V193" i="29"/>
  <c r="T193" i="29"/>
  <c r="R193" i="29"/>
  <c r="Q193" i="29"/>
  <c r="V195" i="29"/>
  <c r="U195" i="29"/>
  <c r="R195" i="29"/>
  <c r="AA57" i="30"/>
  <c r="Z57" i="30"/>
  <c r="AE57" i="30"/>
  <c r="AD57" i="30"/>
  <c r="Y57" i="30"/>
  <c r="R207" i="28"/>
  <c r="S211" i="28"/>
  <c r="R226" i="28"/>
  <c r="AB54" i="29"/>
  <c r="Y57" i="29"/>
  <c r="Y64" i="29"/>
  <c r="Y68" i="29"/>
  <c r="AB72" i="29"/>
  <c r="Y75" i="29"/>
  <c r="AF81" i="29"/>
  <c r="AD81" i="29"/>
  <c r="AB81" i="29"/>
  <c r="AA88" i="29"/>
  <c r="AC92" i="29"/>
  <c r="T99" i="29"/>
  <c r="S102" i="29"/>
  <c r="T105" i="29"/>
  <c r="S108" i="29"/>
  <c r="V111" i="29"/>
  <c r="U116" i="29"/>
  <c r="W124" i="29"/>
  <c r="Y126" i="29"/>
  <c r="W126" i="29"/>
  <c r="U126" i="29"/>
  <c r="T126" i="29"/>
  <c r="V129" i="29"/>
  <c r="U134" i="29"/>
  <c r="AA147" i="29"/>
  <c r="Y149" i="29"/>
  <c r="AE159" i="29"/>
  <c r="AA161" i="29"/>
  <c r="T191" i="29"/>
  <c r="P193" i="29"/>
  <c r="P195" i="29"/>
  <c r="U200" i="29"/>
  <c r="U218" i="29"/>
  <c r="S222" i="29"/>
  <c r="AB57" i="30"/>
  <c r="AC67" i="30"/>
  <c r="AE67" i="30"/>
  <c r="AD67" i="30"/>
  <c r="Z67" i="30"/>
  <c r="Z115" i="30"/>
  <c r="Y115" i="30"/>
  <c r="X115" i="30"/>
  <c r="W115" i="30"/>
  <c r="T115" i="30"/>
  <c r="Z119" i="30"/>
  <c r="Y119" i="30"/>
  <c r="X119" i="30"/>
  <c r="W119" i="30"/>
  <c r="V119" i="30"/>
  <c r="T119" i="30"/>
  <c r="S119" i="30"/>
  <c r="U225" i="28"/>
  <c r="Q225" i="28"/>
  <c r="Z57" i="29"/>
  <c r="Z64" i="29"/>
  <c r="AA68" i="29"/>
  <c r="Z75" i="29"/>
  <c r="U99" i="29"/>
  <c r="T102" i="29"/>
  <c r="U105" i="29"/>
  <c r="T108" i="29"/>
  <c r="Y110" i="29"/>
  <c r="X110" i="29"/>
  <c r="U118" i="29"/>
  <c r="S118" i="29"/>
  <c r="S123" i="29"/>
  <c r="Z123" i="29"/>
  <c r="Y128" i="29"/>
  <c r="X128" i="29"/>
  <c r="U136" i="29"/>
  <c r="S136" i="29"/>
  <c r="AC147" i="29"/>
  <c r="Z149" i="29"/>
  <c r="S193" i="29"/>
  <c r="Q195" i="29"/>
  <c r="R197" i="29"/>
  <c r="P197" i="29"/>
  <c r="V197" i="29"/>
  <c r="R208" i="29"/>
  <c r="Q208" i="29"/>
  <c r="W208" i="29"/>
  <c r="V208" i="29"/>
  <c r="S208" i="29"/>
  <c r="V210" i="29"/>
  <c r="U210" i="29"/>
  <c r="W210" i="29"/>
  <c r="S210" i="29"/>
  <c r="Q210" i="29"/>
  <c r="P210" i="29"/>
  <c r="AC57" i="30"/>
  <c r="AC69" i="30"/>
  <c r="AB69" i="30"/>
  <c r="AA69" i="30"/>
  <c r="Z69" i="30"/>
  <c r="AF69" i="30"/>
  <c r="AD69" i="30"/>
  <c r="Y69" i="30"/>
  <c r="AA78" i="30"/>
  <c r="AC78" i="30"/>
  <c r="AB78" i="30"/>
  <c r="Z78" i="30"/>
  <c r="Y78" i="30"/>
  <c r="AF78" i="30"/>
  <c r="AE78" i="30"/>
  <c r="AD78" i="30"/>
  <c r="AC85" i="30"/>
  <c r="AF85" i="30"/>
  <c r="AE85" i="30"/>
  <c r="AD85" i="30"/>
  <c r="AB85" i="30"/>
  <c r="Z85" i="30"/>
  <c r="Y85" i="30"/>
  <c r="V100" i="30"/>
  <c r="X100" i="30"/>
  <c r="W100" i="30"/>
  <c r="U100" i="30"/>
  <c r="T100" i="30"/>
  <c r="S100" i="30"/>
  <c r="T212" i="29"/>
  <c r="T230" i="29"/>
  <c r="AC54" i="30"/>
  <c r="AE74" i="30"/>
  <c r="AD74" i="30"/>
  <c r="AC74" i="30"/>
  <c r="AB74" i="30"/>
  <c r="AA74" i="30"/>
  <c r="AE88" i="30"/>
  <c r="AD88" i="30"/>
  <c r="AC88" i="30"/>
  <c r="AB88" i="30"/>
  <c r="X113" i="30"/>
  <c r="V113" i="30"/>
  <c r="U113" i="30"/>
  <c r="T113" i="30"/>
  <c r="S113" i="30"/>
  <c r="Z132" i="30"/>
  <c r="S132" i="30"/>
  <c r="AE160" i="30"/>
  <c r="AD160" i="30"/>
  <c r="AC160" i="30"/>
  <c r="AB160" i="30"/>
  <c r="AA166" i="29"/>
  <c r="AA172" i="29"/>
  <c r="AA178" i="29"/>
  <c r="AA184" i="29"/>
  <c r="W212" i="29"/>
  <c r="W230" i="29"/>
  <c r="AC64" i="30"/>
  <c r="AB64" i="30"/>
  <c r="AA64" i="30"/>
  <c r="Z64" i="30"/>
  <c r="AF66" i="30"/>
  <c r="AE66" i="30"/>
  <c r="AD66" i="30"/>
  <c r="AF74" i="30"/>
  <c r="AA76" i="30"/>
  <c r="AE80" i="30"/>
  <c r="AF80" i="30"/>
  <c r="Y83" i="30"/>
  <c r="AD83" i="30"/>
  <c r="AC83" i="30"/>
  <c r="AB83" i="30"/>
  <c r="AA83" i="30"/>
  <c r="AD166" i="30"/>
  <c r="AB166" i="30"/>
  <c r="AA166" i="30"/>
  <c r="Z166" i="30"/>
  <c r="V194" i="30"/>
  <c r="T194" i="30"/>
  <c r="S194" i="30"/>
  <c r="W194" i="30"/>
  <c r="U194" i="30"/>
  <c r="R194" i="30"/>
  <c r="S113" i="29"/>
  <c r="S119" i="29"/>
  <c r="S125" i="29"/>
  <c r="S131" i="29"/>
  <c r="S137" i="29"/>
  <c r="AB166" i="29"/>
  <c r="AB172" i="29"/>
  <c r="AB178" i="29"/>
  <c r="AB184" i="29"/>
  <c r="P192" i="29"/>
  <c r="P198" i="29"/>
  <c r="P206" i="29"/>
  <c r="P224" i="29"/>
  <c r="Y64" i="30"/>
  <c r="Y66" i="30"/>
  <c r="AB76" i="30"/>
  <c r="Y80" i="30"/>
  <c r="Z83" i="30"/>
  <c r="AF88" i="30"/>
  <c r="AE92" i="30"/>
  <c r="AD92" i="30"/>
  <c r="AC92" i="30"/>
  <c r="AB92" i="30"/>
  <c r="AA92" i="30"/>
  <c r="X101" i="30"/>
  <c r="Z101" i="30"/>
  <c r="Y101" i="30"/>
  <c r="W101" i="30"/>
  <c r="X109" i="30"/>
  <c r="W109" i="30"/>
  <c r="V109" i="30"/>
  <c r="U109" i="30"/>
  <c r="W132" i="30"/>
  <c r="V135" i="30"/>
  <c r="U135" i="30"/>
  <c r="T135" i="30"/>
  <c r="Z135" i="30"/>
  <c r="Y135" i="30"/>
  <c r="X135" i="30"/>
  <c r="AF160" i="30"/>
  <c r="Y166" i="30"/>
  <c r="P194" i="30"/>
  <c r="U113" i="29"/>
  <c r="U119" i="29"/>
  <c r="U125" i="29"/>
  <c r="U131" i="29"/>
  <c r="U137" i="29"/>
  <c r="AD166" i="29"/>
  <c r="AD172" i="29"/>
  <c r="AD178" i="29"/>
  <c r="AD184" i="29"/>
  <c r="R192" i="29"/>
  <c r="R198" i="29"/>
  <c r="R202" i="29"/>
  <c r="Q202" i="29"/>
  <c r="R206" i="29"/>
  <c r="T209" i="29"/>
  <c r="S209" i="29"/>
  <c r="V216" i="29"/>
  <c r="U216" i="29"/>
  <c r="R220" i="29"/>
  <c r="Q220" i="29"/>
  <c r="R224" i="29"/>
  <c r="T227" i="29"/>
  <c r="S227" i="29"/>
  <c r="AE64" i="30"/>
  <c r="AA66" i="30"/>
  <c r="AD76" i="30"/>
  <c r="AA80" i="30"/>
  <c r="AF83" i="30"/>
  <c r="AC87" i="30"/>
  <c r="AB87" i="30"/>
  <c r="AA87" i="30"/>
  <c r="Z87" i="30"/>
  <c r="Y89" i="30"/>
  <c r="AF89" i="30"/>
  <c r="AE89" i="30"/>
  <c r="V106" i="30"/>
  <c r="Z106" i="30"/>
  <c r="Y106" i="30"/>
  <c r="Y132" i="30"/>
  <c r="AE166" i="30"/>
  <c r="V200" i="30"/>
  <c r="T200" i="30"/>
  <c r="S200" i="30"/>
  <c r="W200" i="30"/>
  <c r="U200" i="30"/>
  <c r="R200" i="30"/>
  <c r="Q200" i="30"/>
  <c r="P200" i="30"/>
  <c r="AC58" i="30"/>
  <c r="AB58" i="30"/>
  <c r="AA58" i="30"/>
  <c r="Z58" i="30"/>
  <c r="AF60" i="30"/>
  <c r="AE60" i="30"/>
  <c r="AD60" i="30"/>
  <c r="AC145" i="30"/>
  <c r="AB145" i="30"/>
  <c r="AA145" i="30"/>
  <c r="AF145" i="30"/>
  <c r="AE145" i="30"/>
  <c r="AD145" i="30"/>
  <c r="Z145" i="30"/>
  <c r="AE171" i="30"/>
  <c r="AB171" i="30"/>
  <c r="AF171" i="30"/>
  <c r="S202" i="29"/>
  <c r="Q205" i="29"/>
  <c r="Q209" i="29"/>
  <c r="Q216" i="29"/>
  <c r="S220" i="29"/>
  <c r="Q223" i="29"/>
  <c r="Q227" i="29"/>
  <c r="P230" i="29"/>
  <c r="Y54" i="30"/>
  <c r="Y58" i="30"/>
  <c r="Y60" i="30"/>
  <c r="AC66" i="30"/>
  <c r="AE70" i="30"/>
  <c r="AD70" i="30"/>
  <c r="AC70" i="30"/>
  <c r="AB70" i="30"/>
  <c r="AC80" i="30"/>
  <c r="AA84" i="30"/>
  <c r="AF84" i="30"/>
  <c r="AE84" i="30"/>
  <c r="AD84" i="30"/>
  <c r="AD87" i="30"/>
  <c r="AA89" i="30"/>
  <c r="V101" i="30"/>
  <c r="T106" i="30"/>
  <c r="Z109" i="30"/>
  <c r="T111" i="30"/>
  <c r="Z111" i="30"/>
  <c r="V129" i="30"/>
  <c r="U129" i="30"/>
  <c r="T129" i="30"/>
  <c r="Z129" i="30"/>
  <c r="Z131" i="30"/>
  <c r="Y131" i="30"/>
  <c r="X131" i="30"/>
  <c r="W131" i="30"/>
  <c r="V131" i="30"/>
  <c r="U131" i="30"/>
  <c r="X136" i="30"/>
  <c r="W136" i="30"/>
  <c r="V136" i="30"/>
  <c r="S136" i="30"/>
  <c r="Y145" i="30"/>
  <c r="AC151" i="30"/>
  <c r="AB151" i="30"/>
  <c r="AA151" i="30"/>
  <c r="AF151" i="30"/>
  <c r="AE151" i="30"/>
  <c r="AD151" i="30"/>
  <c r="Z151" i="30"/>
  <c r="Y171" i="30"/>
  <c r="Z54" i="30"/>
  <c r="G5" i="30" s="1"/>
  <c r="AD58" i="30"/>
  <c r="Z60" i="30"/>
  <c r="AE65" i="30"/>
  <c r="AD65" i="30"/>
  <c r="AC65" i="30"/>
  <c r="AB65" i="30"/>
  <c r="AC157" i="30"/>
  <c r="AB157" i="30"/>
  <c r="AA157" i="30"/>
  <c r="AF157" i="30"/>
  <c r="AE157" i="30"/>
  <c r="AD157" i="30"/>
  <c r="Z157" i="30"/>
  <c r="Z171" i="30"/>
  <c r="W229" i="30"/>
  <c r="T229" i="30"/>
  <c r="S229" i="30"/>
  <c r="R229" i="30"/>
  <c r="Q229" i="30"/>
  <c r="X108" i="31"/>
  <c r="W108" i="31"/>
  <c r="V108" i="31"/>
  <c r="U108" i="31"/>
  <c r="T108" i="31"/>
  <c r="S108" i="31"/>
  <c r="Z108" i="31"/>
  <c r="X124" i="30"/>
  <c r="W124" i="30"/>
  <c r="V124" i="30"/>
  <c r="AF147" i="30"/>
  <c r="AE147" i="30"/>
  <c r="AF153" i="30"/>
  <c r="AE153" i="30"/>
  <c r="AF159" i="30"/>
  <c r="AE159" i="30"/>
  <c r="AD184" i="30"/>
  <c r="AB184" i="30"/>
  <c r="AA184" i="30"/>
  <c r="AE184" i="30"/>
  <c r="AC184" i="30"/>
  <c r="Z184" i="30"/>
  <c r="S209" i="30"/>
  <c r="P209" i="30"/>
  <c r="W217" i="30"/>
  <c r="T217" i="30"/>
  <c r="R217" i="30"/>
  <c r="Q217" i="30"/>
  <c r="U229" i="30"/>
  <c r="AF60" i="31"/>
  <c r="AE60" i="31"/>
  <c r="AD60" i="31"/>
  <c r="AC60" i="31"/>
  <c r="AB60" i="31"/>
  <c r="AA60" i="31"/>
  <c r="Z60" i="31"/>
  <c r="Y60" i="31"/>
  <c r="Y63" i="30"/>
  <c r="Y73" i="30"/>
  <c r="Y82" i="30"/>
  <c r="Y91" i="30"/>
  <c r="S108" i="30"/>
  <c r="V117" i="30"/>
  <c r="T117" i="30"/>
  <c r="S120" i="30"/>
  <c r="S124" i="30"/>
  <c r="Y147" i="30"/>
  <c r="Y153" i="30"/>
  <c r="Y159" i="30"/>
  <c r="AF167" i="30"/>
  <c r="AE167" i="30"/>
  <c r="AD167" i="30"/>
  <c r="AC167" i="30"/>
  <c r="AC170" i="30"/>
  <c r="Z170" i="30"/>
  <c r="AD170" i="30"/>
  <c r="AB170" i="30"/>
  <c r="AA170" i="30"/>
  <c r="Y184" i="30"/>
  <c r="Q209" i="30"/>
  <c r="Q214" i="30"/>
  <c r="W214" i="30"/>
  <c r="P217" i="30"/>
  <c r="V229" i="30"/>
  <c r="AF55" i="31"/>
  <c r="AE55" i="31"/>
  <c r="AD55" i="31"/>
  <c r="AC55" i="31"/>
  <c r="AB55" i="31"/>
  <c r="Y55" i="31"/>
  <c r="W207" i="31"/>
  <c r="V207" i="31"/>
  <c r="U207" i="31"/>
  <c r="T207" i="31"/>
  <c r="P207" i="31"/>
  <c r="R207" i="31"/>
  <c r="S207" i="31"/>
  <c r="Q207" i="31"/>
  <c r="Z63" i="30"/>
  <c r="Y68" i="30"/>
  <c r="Z73" i="30"/>
  <c r="Z82" i="30"/>
  <c r="Y86" i="30"/>
  <c r="Z91" i="30"/>
  <c r="S99" i="30"/>
  <c r="S103" i="30"/>
  <c r="T108" i="30"/>
  <c r="S117" i="30"/>
  <c r="T120" i="30"/>
  <c r="T124" i="30"/>
  <c r="X130" i="30"/>
  <c r="W130" i="30"/>
  <c r="V130" i="30"/>
  <c r="Z147" i="30"/>
  <c r="Z153" i="30"/>
  <c r="Z159" i="30"/>
  <c r="Y167" i="30"/>
  <c r="Y170" i="30"/>
  <c r="AE177" i="30"/>
  <c r="AB177" i="30"/>
  <c r="Z177" i="30"/>
  <c r="Y177" i="30"/>
  <c r="AF177" i="30"/>
  <c r="AF179" i="30"/>
  <c r="AD179" i="30"/>
  <c r="AC179" i="30"/>
  <c r="AE179" i="30"/>
  <c r="AB179" i="30"/>
  <c r="AA179" i="30"/>
  <c r="AF184" i="30"/>
  <c r="W193" i="30"/>
  <c r="T193" i="30"/>
  <c r="R193" i="30"/>
  <c r="Q193" i="30"/>
  <c r="V206" i="30"/>
  <c r="T206" i="30"/>
  <c r="S206" i="30"/>
  <c r="R209" i="30"/>
  <c r="P214" i="30"/>
  <c r="S217" i="30"/>
  <c r="Q226" i="30"/>
  <c r="W226" i="30"/>
  <c r="V226" i="30"/>
  <c r="U226" i="30"/>
  <c r="T226" i="30"/>
  <c r="Z55" i="31"/>
  <c r="AF61" i="31"/>
  <c r="AE61" i="31"/>
  <c r="AD61" i="31"/>
  <c r="AC61" i="31"/>
  <c r="AB61" i="31"/>
  <c r="AF66" i="31"/>
  <c r="AE66" i="31"/>
  <c r="AD66" i="31"/>
  <c r="AC66" i="31"/>
  <c r="AB66" i="31"/>
  <c r="AA66" i="31"/>
  <c r="Z66" i="31"/>
  <c r="Z68" i="30"/>
  <c r="AA73" i="30"/>
  <c r="Z77" i="30"/>
  <c r="Z86" i="30"/>
  <c r="AA91" i="30"/>
  <c r="U99" i="30"/>
  <c r="U108" i="30"/>
  <c r="S112" i="30"/>
  <c r="U117" i="30"/>
  <c r="U120" i="30"/>
  <c r="U124" i="30"/>
  <c r="S126" i="30"/>
  <c r="S130" i="30"/>
  <c r="AA147" i="30"/>
  <c r="AA150" i="30"/>
  <c r="Z150" i="30"/>
  <c r="Y150" i="30"/>
  <c r="AA153" i="30"/>
  <c r="AA156" i="30"/>
  <c r="Z156" i="30"/>
  <c r="Y156" i="30"/>
  <c r="AA159" i="30"/>
  <c r="AA162" i="30"/>
  <c r="Z162" i="30"/>
  <c r="Y162" i="30"/>
  <c r="Z167" i="30"/>
  <c r="AE170" i="30"/>
  <c r="Y174" i="30"/>
  <c r="AE174" i="30"/>
  <c r="AF174" i="30"/>
  <c r="AD174" i="30"/>
  <c r="AA177" i="30"/>
  <c r="Y179" i="30"/>
  <c r="Q202" i="30"/>
  <c r="W202" i="30"/>
  <c r="T202" i="30"/>
  <c r="S202" i="30"/>
  <c r="R202" i="30"/>
  <c r="P206" i="30"/>
  <c r="T209" i="30"/>
  <c r="W211" i="30"/>
  <c r="T211" i="30"/>
  <c r="R211" i="30"/>
  <c r="Q211" i="30"/>
  <c r="R214" i="30"/>
  <c r="U217" i="30"/>
  <c r="P226" i="30"/>
  <c r="AA55" i="31"/>
  <c r="Y66" i="31"/>
  <c r="AF72" i="31"/>
  <c r="AE72" i="31"/>
  <c r="AD72" i="31"/>
  <c r="AC72" i="31"/>
  <c r="AB72" i="31"/>
  <c r="AA72" i="31"/>
  <c r="Z72" i="31"/>
  <c r="V123" i="30"/>
  <c r="U123" i="30"/>
  <c r="T123" i="30"/>
  <c r="AE146" i="30"/>
  <c r="AD146" i="30"/>
  <c r="AC146" i="30"/>
  <c r="AE152" i="30"/>
  <c r="AD152" i="30"/>
  <c r="AC152" i="30"/>
  <c r="AE158" i="30"/>
  <c r="AD158" i="30"/>
  <c r="AC158" i="30"/>
  <c r="S197" i="30"/>
  <c r="P197" i="30"/>
  <c r="V197" i="30"/>
  <c r="U197" i="30"/>
  <c r="T197" i="30"/>
  <c r="AF67" i="31"/>
  <c r="AE67" i="31"/>
  <c r="AD67" i="31"/>
  <c r="AC67" i="31"/>
  <c r="AB67" i="31"/>
  <c r="AA67" i="31"/>
  <c r="Z67" i="31"/>
  <c r="Y180" i="30"/>
  <c r="AF180" i="30"/>
  <c r="AE180" i="30"/>
  <c r="AE183" i="30"/>
  <c r="AB183" i="30"/>
  <c r="Z183" i="30"/>
  <c r="Y183" i="30"/>
  <c r="Q208" i="30"/>
  <c r="W208" i="30"/>
  <c r="V208" i="30"/>
  <c r="U208" i="30"/>
  <c r="V218" i="30"/>
  <c r="T218" i="30"/>
  <c r="S218" i="30"/>
  <c r="W218" i="30"/>
  <c r="U218" i="30"/>
  <c r="R218" i="30"/>
  <c r="AE154" i="31"/>
  <c r="AD154" i="31"/>
  <c r="AC154" i="31"/>
  <c r="AB154" i="31"/>
  <c r="AA154" i="31"/>
  <c r="Z154" i="31"/>
  <c r="Y154" i="31"/>
  <c r="AE160" i="31"/>
  <c r="AD160" i="31"/>
  <c r="AC160" i="31"/>
  <c r="AB160" i="31"/>
  <c r="AA160" i="31"/>
  <c r="Z160" i="31"/>
  <c r="AF160" i="31"/>
  <c r="AF54" i="31"/>
  <c r="C5" i="31" s="1"/>
  <c r="AD54" i="31"/>
  <c r="I5" i="31" s="1"/>
  <c r="AC54" i="31"/>
  <c r="AB54" i="31"/>
  <c r="E5" i="31" s="1"/>
  <c r="AA54" i="31"/>
  <c r="Z54" i="31"/>
  <c r="S191" i="30"/>
  <c r="P191" i="30"/>
  <c r="W199" i="30"/>
  <c r="T199" i="30"/>
  <c r="R199" i="30"/>
  <c r="Q199" i="30"/>
  <c r="V212" i="30"/>
  <c r="T212" i="30"/>
  <c r="S212" i="30"/>
  <c r="S215" i="30"/>
  <c r="P215" i="30"/>
  <c r="W223" i="30"/>
  <c r="T223" i="30"/>
  <c r="S223" i="30"/>
  <c r="R223" i="30"/>
  <c r="Q223" i="30"/>
  <c r="V230" i="30"/>
  <c r="U230" i="30"/>
  <c r="T230" i="30"/>
  <c r="S230" i="30"/>
  <c r="Y54" i="31"/>
  <c r="AF73" i="31"/>
  <c r="AE73" i="31"/>
  <c r="AD73" i="31"/>
  <c r="AC73" i="31"/>
  <c r="AB73" i="31"/>
  <c r="AF78" i="31"/>
  <c r="AE78" i="31"/>
  <c r="AD78" i="31"/>
  <c r="AC78" i="31"/>
  <c r="AB78" i="31"/>
  <c r="AA78" i="31"/>
  <c r="Z78" i="31"/>
  <c r="Z105" i="31"/>
  <c r="Y105" i="31"/>
  <c r="X105" i="31"/>
  <c r="W105" i="31"/>
  <c r="V105" i="31"/>
  <c r="U105" i="31"/>
  <c r="T105" i="31"/>
  <c r="Z116" i="31"/>
  <c r="Y116" i="31"/>
  <c r="X116" i="31"/>
  <c r="W116" i="31"/>
  <c r="V116" i="31"/>
  <c r="Z122" i="31"/>
  <c r="Y122" i="31"/>
  <c r="X122" i="31"/>
  <c r="W122" i="31"/>
  <c r="V122" i="31"/>
  <c r="U122" i="31"/>
  <c r="T122" i="31"/>
  <c r="Q196" i="30"/>
  <c r="W196" i="30"/>
  <c r="Q220" i="30"/>
  <c r="W220" i="30"/>
  <c r="AE54" i="31"/>
  <c r="K5" i="31" s="1"/>
  <c r="AE165" i="30"/>
  <c r="AB165" i="30"/>
  <c r="AD178" i="30"/>
  <c r="AB178" i="30"/>
  <c r="AA178" i="30"/>
  <c r="Z133" i="31"/>
  <c r="Y133" i="31"/>
  <c r="X133" i="31"/>
  <c r="W133" i="31"/>
  <c r="V133" i="31"/>
  <c r="U133" i="31"/>
  <c r="AF174" i="31"/>
  <c r="AE174" i="31"/>
  <c r="AD174" i="31"/>
  <c r="Z174" i="31"/>
  <c r="AC174" i="31"/>
  <c r="AB174" i="31"/>
  <c r="AA174" i="31"/>
  <c r="Y174" i="31"/>
  <c r="U205" i="31"/>
  <c r="T205" i="31"/>
  <c r="S205" i="31"/>
  <c r="R205" i="31"/>
  <c r="Q205" i="31"/>
  <c r="P205" i="31"/>
  <c r="W205" i="31"/>
  <c r="V205" i="31"/>
  <c r="AF88" i="31"/>
  <c r="AD88" i="31"/>
  <c r="AC88" i="31"/>
  <c r="AB88" i="31"/>
  <c r="AE88" i="31"/>
  <c r="AA88" i="31"/>
  <c r="Y103" i="31"/>
  <c r="X103" i="31"/>
  <c r="W103" i="31"/>
  <c r="V103" i="31"/>
  <c r="U103" i="31"/>
  <c r="Z103" i="31"/>
  <c r="T103" i="31"/>
  <c r="S103" i="31"/>
  <c r="Z127" i="31"/>
  <c r="Y127" i="31"/>
  <c r="X127" i="31"/>
  <c r="W127" i="31"/>
  <c r="V127" i="31"/>
  <c r="U127" i="31"/>
  <c r="AF162" i="31"/>
  <c r="AE162" i="31"/>
  <c r="AD162" i="31"/>
  <c r="Z162" i="31"/>
  <c r="AA162" i="31"/>
  <c r="U199" i="31"/>
  <c r="T199" i="31"/>
  <c r="S199" i="31"/>
  <c r="R199" i="31"/>
  <c r="Q199" i="31"/>
  <c r="P199" i="31"/>
  <c r="W199" i="31"/>
  <c r="AF168" i="31"/>
  <c r="AE168" i="31"/>
  <c r="AD168" i="31"/>
  <c r="Z168" i="31"/>
  <c r="U193" i="31"/>
  <c r="T193" i="31"/>
  <c r="S193" i="31"/>
  <c r="R193" i="31"/>
  <c r="Q193" i="31"/>
  <c r="P193" i="31"/>
  <c r="W219" i="31"/>
  <c r="V219" i="31"/>
  <c r="U219" i="31"/>
  <c r="T219" i="31"/>
  <c r="P219" i="31"/>
  <c r="W225" i="31"/>
  <c r="V225" i="31"/>
  <c r="U225" i="31"/>
  <c r="T225" i="31"/>
  <c r="P225" i="31"/>
  <c r="AF57" i="31"/>
  <c r="AF63" i="31"/>
  <c r="AF69" i="31"/>
  <c r="AF75" i="31"/>
  <c r="AF81" i="31"/>
  <c r="X114" i="31"/>
  <c r="W114" i="31"/>
  <c r="V114" i="31"/>
  <c r="U114" i="31"/>
  <c r="T114" i="31"/>
  <c r="S114" i="31"/>
  <c r="Z128" i="31"/>
  <c r="Y128" i="31"/>
  <c r="X128" i="31"/>
  <c r="W128" i="31"/>
  <c r="S128" i="31"/>
  <c r="AE166" i="31"/>
  <c r="AD166" i="31"/>
  <c r="AC166" i="31"/>
  <c r="AB166" i="31"/>
  <c r="AA166" i="31"/>
  <c r="Z166" i="31"/>
  <c r="AB168" i="31"/>
  <c r="U211" i="31"/>
  <c r="T211" i="31"/>
  <c r="S211" i="31"/>
  <c r="R211" i="31"/>
  <c r="Q211" i="31"/>
  <c r="P211" i="31"/>
  <c r="S219" i="31"/>
  <c r="S225" i="31"/>
  <c r="U229" i="31"/>
  <c r="T229" i="31"/>
  <c r="S229" i="31"/>
  <c r="R229" i="31"/>
  <c r="Q229" i="31"/>
  <c r="P229" i="31"/>
  <c r="P192" i="30"/>
  <c r="P198" i="30"/>
  <c r="P204" i="30"/>
  <c r="P210" i="30"/>
  <c r="P216" i="30"/>
  <c r="P222" i="30"/>
  <c r="P228" i="30"/>
  <c r="Y53" i="31"/>
  <c r="Y59" i="31"/>
  <c r="Y65" i="31"/>
  <c r="Y71" i="31"/>
  <c r="Y77" i="31"/>
  <c r="Y83" i="31"/>
  <c r="Y114" i="31"/>
  <c r="T128" i="31"/>
  <c r="Z134" i="31"/>
  <c r="Y134" i="31"/>
  <c r="X134" i="31"/>
  <c r="W134" i="31"/>
  <c r="S134" i="31"/>
  <c r="Y166" i="31"/>
  <c r="AC168" i="31"/>
  <c r="AF180" i="31"/>
  <c r="AE180" i="31"/>
  <c r="AD180" i="31"/>
  <c r="Z180" i="31"/>
  <c r="W194" i="31"/>
  <c r="V194" i="31"/>
  <c r="U194" i="31"/>
  <c r="T194" i="31"/>
  <c r="S194" i="31"/>
  <c r="R194" i="31"/>
  <c r="V211" i="31"/>
  <c r="U217" i="31"/>
  <c r="T217" i="31"/>
  <c r="S217" i="31"/>
  <c r="R217" i="31"/>
  <c r="Q217" i="31"/>
  <c r="P217" i="31"/>
  <c r="U223" i="31"/>
  <c r="T223" i="31"/>
  <c r="S223" i="31"/>
  <c r="R223" i="31"/>
  <c r="Q223" i="31"/>
  <c r="P223" i="31"/>
  <c r="V229" i="31"/>
  <c r="Z59" i="31"/>
  <c r="Z65" i="31"/>
  <c r="Z71" i="31"/>
  <c r="Z77" i="31"/>
  <c r="Z83" i="31"/>
  <c r="AB87" i="31"/>
  <c r="AA87" i="31"/>
  <c r="Z87" i="31"/>
  <c r="Z109" i="31"/>
  <c r="Y109" i="31"/>
  <c r="X109" i="31"/>
  <c r="W109" i="31"/>
  <c r="V109" i="31"/>
  <c r="U109" i="31"/>
  <c r="Z114" i="31"/>
  <c r="X120" i="31"/>
  <c r="W120" i="31"/>
  <c r="V120" i="31"/>
  <c r="U120" i="31"/>
  <c r="T120" i="31"/>
  <c r="S120" i="31"/>
  <c r="U128" i="31"/>
  <c r="AF150" i="31"/>
  <c r="AE150" i="31"/>
  <c r="AD150" i="31"/>
  <c r="Z150" i="31"/>
  <c r="AF166" i="31"/>
  <c r="AE172" i="31"/>
  <c r="AD172" i="31"/>
  <c r="AC172" i="31"/>
  <c r="AB172" i="31"/>
  <c r="AA172" i="31"/>
  <c r="Z172" i="31"/>
  <c r="W200" i="31"/>
  <c r="V200" i="31"/>
  <c r="U200" i="31"/>
  <c r="T200" i="31"/>
  <c r="S200" i="31"/>
  <c r="R200" i="31"/>
  <c r="W211" i="31"/>
  <c r="W229" i="31"/>
  <c r="Z176" i="30"/>
  <c r="Z182" i="30"/>
  <c r="R192" i="30"/>
  <c r="R198" i="30"/>
  <c r="R204" i="30"/>
  <c r="R210" i="30"/>
  <c r="R216" i="30"/>
  <c r="P221" i="30"/>
  <c r="R222" i="30"/>
  <c r="P227" i="30"/>
  <c r="R228" i="30"/>
  <c r="AA53" i="31"/>
  <c r="Y58" i="31"/>
  <c r="AA59" i="31"/>
  <c r="Y64" i="31"/>
  <c r="AA65" i="31"/>
  <c r="Y70" i="31"/>
  <c r="AA71" i="31"/>
  <c r="Y76" i="31"/>
  <c r="AA77" i="31"/>
  <c r="Y82" i="31"/>
  <c r="AA83" i="31"/>
  <c r="Y87" i="31"/>
  <c r="AF89" i="31"/>
  <c r="AE89" i="31"/>
  <c r="AD89" i="31"/>
  <c r="S109" i="31"/>
  <c r="Y120" i="31"/>
  <c r="V128" i="31"/>
  <c r="U134" i="31"/>
  <c r="Y150" i="31"/>
  <c r="Y172" i="31"/>
  <c r="AA180" i="31"/>
  <c r="Q194" i="31"/>
  <c r="P200" i="31"/>
  <c r="W206" i="31"/>
  <c r="V206" i="31"/>
  <c r="U206" i="31"/>
  <c r="T206" i="31"/>
  <c r="S206" i="31"/>
  <c r="R206" i="31"/>
  <c r="W217" i="31"/>
  <c r="W223" i="31"/>
  <c r="Z104" i="31"/>
  <c r="Y104" i="31"/>
  <c r="X104" i="31"/>
  <c r="W104" i="31"/>
  <c r="Z115" i="31"/>
  <c r="Y115" i="31"/>
  <c r="X115" i="31"/>
  <c r="W115" i="31"/>
  <c r="V115" i="31"/>
  <c r="U115" i="31"/>
  <c r="X126" i="31"/>
  <c r="W126" i="31"/>
  <c r="V126" i="31"/>
  <c r="U126" i="31"/>
  <c r="T126" i="31"/>
  <c r="S126" i="31"/>
  <c r="AE178" i="31"/>
  <c r="AD178" i="31"/>
  <c r="AC178" i="31"/>
  <c r="AB178" i="31"/>
  <c r="AA178" i="31"/>
  <c r="Z178" i="31"/>
  <c r="W212" i="31"/>
  <c r="V212" i="31"/>
  <c r="U212" i="31"/>
  <c r="T212" i="31"/>
  <c r="S212" i="31"/>
  <c r="R212" i="31"/>
  <c r="W230" i="31"/>
  <c r="V230" i="31"/>
  <c r="U230" i="31"/>
  <c r="T230" i="31"/>
  <c r="S230" i="31"/>
  <c r="R230" i="31"/>
  <c r="Y126" i="31"/>
  <c r="X132" i="31"/>
  <c r="W132" i="31"/>
  <c r="V132" i="31"/>
  <c r="U132" i="31"/>
  <c r="T132" i="31"/>
  <c r="S132" i="31"/>
  <c r="AE148" i="31"/>
  <c r="AD148" i="31"/>
  <c r="AC148" i="31"/>
  <c r="AB148" i="31"/>
  <c r="AA148" i="31"/>
  <c r="Z148" i="31"/>
  <c r="AF156" i="31"/>
  <c r="AE156" i="31"/>
  <c r="AD156" i="31"/>
  <c r="Z156" i="31"/>
  <c r="Y178" i="31"/>
  <c r="W195" i="31"/>
  <c r="V195" i="31"/>
  <c r="U195" i="31"/>
  <c r="T195" i="31"/>
  <c r="P195" i="31"/>
  <c r="P212" i="31"/>
  <c r="W218" i="31"/>
  <c r="V218" i="31"/>
  <c r="U218" i="31"/>
  <c r="T218" i="31"/>
  <c r="S218" i="31"/>
  <c r="R218" i="31"/>
  <c r="W224" i="31"/>
  <c r="V224" i="31"/>
  <c r="U224" i="31"/>
  <c r="T224" i="31"/>
  <c r="S224" i="31"/>
  <c r="R224" i="31"/>
  <c r="P230" i="31"/>
  <c r="AE87" i="31"/>
  <c r="Z99" i="31"/>
  <c r="Y99" i="31"/>
  <c r="W102" i="31"/>
  <c r="V102" i="31"/>
  <c r="U102" i="31"/>
  <c r="T102" i="31"/>
  <c r="S102" i="31"/>
  <c r="T104" i="31"/>
  <c r="Z110" i="31"/>
  <c r="Y110" i="31"/>
  <c r="X110" i="31"/>
  <c r="W110" i="31"/>
  <c r="T115" i="31"/>
  <c r="Z121" i="31"/>
  <c r="Y121" i="31"/>
  <c r="X121" i="31"/>
  <c r="W121" i="31"/>
  <c r="V121" i="31"/>
  <c r="U121" i="31"/>
  <c r="Z126" i="31"/>
  <c r="Y132" i="31"/>
  <c r="X138" i="31"/>
  <c r="W138" i="31"/>
  <c r="V138" i="31"/>
  <c r="U138" i="31"/>
  <c r="T138" i="31"/>
  <c r="S138" i="31"/>
  <c r="Y148" i="31"/>
  <c r="AC150" i="31"/>
  <c r="Y156" i="31"/>
  <c r="AF178" i="31"/>
  <c r="AE184" i="31"/>
  <c r="AD184" i="31"/>
  <c r="AC184" i="31"/>
  <c r="AB184" i="31"/>
  <c r="AA184" i="31"/>
  <c r="Z184" i="31"/>
  <c r="Q195" i="31"/>
  <c r="W201" i="31"/>
  <c r="V201" i="31"/>
  <c r="U201" i="31"/>
  <c r="T201" i="31"/>
  <c r="P201" i="31"/>
  <c r="Q212" i="31"/>
  <c r="P218" i="31"/>
  <c r="P224" i="31"/>
  <c r="Q230" i="31"/>
  <c r="R220" i="31"/>
  <c r="Y111" i="31"/>
  <c r="Y117" i="31"/>
  <c r="Y123" i="31"/>
  <c r="Y129" i="31"/>
  <c r="Y135" i="31"/>
  <c r="AB149" i="31"/>
  <c r="AB155" i="31"/>
  <c r="AB161" i="31"/>
  <c r="AB167" i="31"/>
  <c r="AB173" i="31"/>
  <c r="AB179" i="31"/>
  <c r="V196" i="31"/>
  <c r="V202" i="31"/>
  <c r="V208" i="31"/>
  <c r="V214" i="31"/>
  <c r="V220" i="31"/>
  <c r="V226" i="31"/>
  <c r="Y86" i="31"/>
  <c r="Y92" i="31"/>
  <c r="Y147" i="31"/>
  <c r="AC149" i="31"/>
  <c r="Y153" i="31"/>
  <c r="AC155" i="31"/>
  <c r="Y159" i="31"/>
  <c r="AC161" i="31"/>
  <c r="Y165" i="31"/>
  <c r="AC167" i="31"/>
  <c r="Y171" i="31"/>
  <c r="AC173" i="31"/>
  <c r="Y177" i="31"/>
  <c r="AC179" i="31"/>
  <c r="Y183" i="31"/>
  <c r="Z92" i="31"/>
  <c r="S101" i="31"/>
  <c r="S107" i="31"/>
  <c r="S113" i="31"/>
  <c r="S119" i="31"/>
  <c r="S125" i="31"/>
  <c r="S131" i="31"/>
  <c r="S137" i="31"/>
  <c r="Z147" i="31"/>
  <c r="AD149" i="31"/>
  <c r="Z153" i="31"/>
  <c r="AD155" i="31"/>
  <c r="Z159" i="31"/>
  <c r="AD161" i="31"/>
  <c r="Z165" i="31"/>
  <c r="AD167" i="31"/>
  <c r="Z171" i="31"/>
  <c r="AD173" i="31"/>
  <c r="Z177" i="31"/>
  <c r="AD179" i="31"/>
  <c r="Z183" i="31"/>
  <c r="P192" i="31"/>
  <c r="P198" i="31"/>
  <c r="P204" i="31"/>
  <c r="P210" i="31"/>
  <c r="P216" i="31"/>
  <c r="P222" i="31"/>
  <c r="P228" i="31"/>
  <c r="T101" i="31"/>
  <c r="T107" i="31"/>
  <c r="T113" i="31"/>
  <c r="T119" i="31"/>
  <c r="T125" i="31"/>
  <c r="T131" i="31"/>
  <c r="T137" i="31"/>
  <c r="Y146" i="31"/>
  <c r="AA147" i="31"/>
  <c r="AE149" i="31"/>
  <c r="Y152" i="31"/>
  <c r="AA153" i="31"/>
  <c r="AE155" i="31"/>
  <c r="Y158" i="31"/>
  <c r="AA159" i="31"/>
  <c r="AE161" i="31"/>
  <c r="Y164" i="31"/>
  <c r="AA165" i="31"/>
  <c r="AE167" i="31"/>
  <c r="Y170" i="31"/>
  <c r="AA171" i="31"/>
  <c r="AE173" i="31"/>
  <c r="Y176" i="31"/>
  <c r="AA177" i="31"/>
  <c r="AE179" i="31"/>
  <c r="Y182" i="31"/>
  <c r="AA183" i="31"/>
  <c r="Q192" i="31"/>
  <c r="Q198" i="31"/>
  <c r="Q204" i="31"/>
  <c r="Q210" i="31"/>
  <c r="Q216" i="31"/>
  <c r="Q222" i="31"/>
  <c r="Q228" i="31"/>
  <c r="AB159" i="31"/>
  <c r="AB165" i="31"/>
  <c r="AB171" i="31"/>
  <c r="AB177" i="31"/>
  <c r="AB183" i="31"/>
  <c r="P227" i="31"/>
  <c r="R228" i="31"/>
  <c r="K16" i="16" l="1"/>
  <c r="K14" i="16"/>
  <c r="AF78" i="15"/>
  <c r="AF57" i="15"/>
  <c r="AF53" i="15"/>
  <c r="AF69" i="17"/>
  <c r="AF54" i="17"/>
  <c r="AF77" i="17"/>
  <c r="AF57" i="17"/>
  <c r="AF79" i="17"/>
  <c r="AF84" i="17"/>
  <c r="AF63" i="17"/>
  <c r="AF74" i="17"/>
  <c r="AF56" i="17"/>
  <c r="AF68" i="17"/>
  <c r="AF71" i="17"/>
  <c r="AF78" i="17"/>
  <c r="AF66" i="17"/>
  <c r="AF60" i="17"/>
  <c r="Z129" i="12"/>
  <c r="Z107" i="12"/>
  <c r="AF61" i="12"/>
  <c r="AF60" i="12"/>
  <c r="AF53" i="12"/>
  <c r="Z108" i="12"/>
  <c r="Z106" i="12"/>
  <c r="AF84" i="12"/>
  <c r="Z105" i="12"/>
  <c r="AF66" i="12"/>
  <c r="AF83" i="12"/>
  <c r="AF54" i="12"/>
  <c r="Z130" i="12"/>
  <c r="AF82" i="12"/>
  <c r="Z131" i="12"/>
  <c r="AF75" i="12"/>
  <c r="AF73" i="12"/>
  <c r="AF67" i="12"/>
  <c r="Z125" i="12"/>
  <c r="AF79" i="12"/>
  <c r="Z120" i="12"/>
  <c r="AF74" i="12"/>
  <c r="Z112" i="12"/>
  <c r="AF56" i="12"/>
  <c r="AF81" i="12"/>
  <c r="Z124" i="12"/>
  <c r="Z114" i="12"/>
  <c r="Z127" i="12"/>
  <c r="AF72" i="12"/>
  <c r="Z110" i="12"/>
  <c r="Z116" i="12"/>
  <c r="H13" i="12"/>
  <c r="K13" i="12" s="1"/>
  <c r="Z119" i="12"/>
  <c r="Z100" i="12"/>
  <c r="Z99" i="12"/>
  <c r="AF60" i="16"/>
  <c r="G11" i="16"/>
  <c r="K11" i="16" s="1"/>
  <c r="AF55" i="12"/>
  <c r="AF71" i="12"/>
  <c r="AF62" i="12"/>
  <c r="AF81" i="16"/>
  <c r="AF79" i="16"/>
  <c r="K5" i="17"/>
  <c r="M16" i="11" s="1"/>
  <c r="W193" i="17"/>
  <c r="AF73" i="17"/>
  <c r="W191" i="17"/>
  <c r="W196" i="17"/>
  <c r="AF59" i="17"/>
  <c r="AF53" i="17"/>
  <c r="AF61" i="17"/>
  <c r="W216" i="17"/>
  <c r="Z112" i="17"/>
  <c r="AF149" i="17"/>
  <c r="Z108" i="17"/>
  <c r="W210" i="17"/>
  <c r="W217" i="17"/>
  <c r="Z100" i="17"/>
  <c r="W207" i="17"/>
  <c r="G5" i="17"/>
  <c r="K16" i="11" s="1"/>
  <c r="AF67" i="17"/>
  <c r="E5" i="17"/>
  <c r="J16" i="11" s="1"/>
  <c r="AF152" i="17"/>
  <c r="Z118" i="16"/>
  <c r="AF154" i="16"/>
  <c r="AF148" i="16"/>
  <c r="I5" i="16"/>
  <c r="L15" i="11" s="1"/>
  <c r="E5" i="16"/>
  <c r="J15" i="11" s="1"/>
  <c r="AF74" i="16"/>
  <c r="AF82" i="16"/>
  <c r="AF71" i="15"/>
  <c r="AF85" i="15"/>
  <c r="E5" i="15"/>
  <c r="J14" i="11" s="1"/>
  <c r="Z118" i="15"/>
  <c r="AF169" i="15"/>
  <c r="AF54" i="15"/>
  <c r="AF65" i="15"/>
  <c r="W210" i="15"/>
  <c r="Z112" i="15"/>
  <c r="AF55" i="15"/>
  <c r="W212" i="15"/>
  <c r="AF60" i="15"/>
  <c r="Z130" i="15"/>
  <c r="Z106" i="15"/>
  <c r="AF172" i="15"/>
  <c r="W194" i="15"/>
  <c r="K5" i="15"/>
  <c r="M14" i="11" s="1"/>
  <c r="AF77" i="15"/>
  <c r="I5" i="15"/>
  <c r="L14" i="11" s="1"/>
  <c r="E5" i="14"/>
  <c r="J13" i="11" s="1"/>
  <c r="Z119" i="14"/>
  <c r="AF79" i="14"/>
  <c r="AF166" i="14"/>
  <c r="AF67" i="14"/>
  <c r="Z126" i="14"/>
  <c r="AF57" i="14"/>
  <c r="AF157" i="14"/>
  <c r="W223" i="14"/>
  <c r="AF84" i="14"/>
  <c r="K5" i="14"/>
  <c r="M13" i="11" s="1"/>
  <c r="Z115" i="14"/>
  <c r="I5" i="14"/>
  <c r="L13" i="11" s="1"/>
  <c r="W211" i="14"/>
  <c r="AF145" i="14"/>
  <c r="Z108" i="14"/>
  <c r="AF177" i="14"/>
  <c r="W199" i="14"/>
  <c r="Z110" i="14"/>
  <c r="Z111" i="13"/>
  <c r="AF159" i="13"/>
  <c r="AF166" i="13"/>
  <c r="W217" i="13"/>
  <c r="AF152" i="13"/>
  <c r="Z119" i="13"/>
  <c r="AF176" i="13"/>
  <c r="AF74" i="13"/>
  <c r="Z106" i="13"/>
  <c r="W196" i="13"/>
  <c r="Z100" i="13"/>
  <c r="Z108" i="13"/>
  <c r="W220" i="13"/>
  <c r="AF171" i="13"/>
  <c r="W209" i="13"/>
  <c r="W210" i="13"/>
  <c r="AF167" i="12"/>
  <c r="Z121" i="12"/>
  <c r="AF57" i="12"/>
  <c r="AF172" i="12"/>
  <c r="C5" i="29"/>
  <c r="K5" i="27"/>
  <c r="E5" i="23"/>
  <c r="G5" i="18"/>
  <c r="K5" i="12"/>
  <c r="M11" i="11" s="1"/>
  <c r="G5" i="23"/>
  <c r="G5" i="20"/>
  <c r="G5" i="15"/>
  <c r="K14" i="11" s="1"/>
  <c r="G5" i="12"/>
  <c r="K11" i="11" s="1"/>
  <c r="G5" i="31"/>
  <c r="G5" i="13"/>
  <c r="K12" i="11" s="1"/>
  <c r="I5" i="13"/>
  <c r="L12" i="11" s="1"/>
  <c r="E5" i="12"/>
  <c r="J11" i="11" s="1"/>
  <c r="K5" i="13"/>
  <c r="M12" i="11" s="1"/>
  <c r="C5" i="26"/>
  <c r="C5" i="13"/>
  <c r="I12" i="11" s="1"/>
  <c r="I5" i="12"/>
  <c r="L11" i="11" s="1"/>
  <c r="C5" i="30"/>
  <c r="C5" i="24"/>
  <c r="E5" i="30"/>
  <c r="I5" i="26"/>
  <c r="G5" i="26"/>
  <c r="C5" i="23"/>
  <c r="K5" i="26"/>
  <c r="E5" i="26"/>
  <c r="I5" i="20"/>
  <c r="K5" i="16"/>
  <c r="M15" i="11" s="1"/>
  <c r="G5" i="16"/>
  <c r="K15" i="11" s="1"/>
  <c r="K5" i="30"/>
  <c r="G5" i="29"/>
  <c r="I5" i="24"/>
  <c r="G5" i="19"/>
  <c r="E5" i="19"/>
  <c r="K5" i="29"/>
  <c r="I5" i="29"/>
  <c r="G5" i="27"/>
  <c r="C5" i="22"/>
  <c r="G5" i="24"/>
  <c r="K5" i="19"/>
  <c r="C5" i="27"/>
  <c r="E5" i="24"/>
  <c r="I5" i="17"/>
  <c r="L16" i="11" s="1"/>
  <c r="I5" i="30"/>
  <c r="I5" i="28"/>
  <c r="E5" i="27"/>
  <c r="G5" i="25"/>
  <c r="I5" i="27"/>
  <c r="K5" i="24"/>
  <c r="K5" i="18"/>
  <c r="E5" i="13"/>
  <c r="J12" i="11" s="1"/>
  <c r="G5" i="14"/>
  <c r="K13" i="11" s="1"/>
  <c r="C5" i="14" l="1"/>
  <c r="I13" i="11" s="1"/>
  <c r="C5" i="17"/>
  <c r="I16" i="11" s="1"/>
  <c r="C5" i="12"/>
  <c r="I11" i="11" s="1"/>
  <c r="C5" i="16"/>
  <c r="I15" i="11" s="1"/>
  <c r="C5" i="15"/>
  <c r="I14" i="11" s="1"/>
  <c r="Q6" i="11"/>
  <c r="K10" i="1" s="1"/>
  <c r="Q7" i="11"/>
  <c r="Q5" i="11"/>
  <c r="I6" i="11"/>
  <c r="I10" i="1" s="1"/>
  <c r="Q4" i="11"/>
  <c r="G6" i="11"/>
  <c r="G10" i="1" s="1"/>
  <c r="E6" i="11" l="1"/>
  <c r="E10" i="1" s="1"/>
  <c r="Q3" i="11"/>
</calcChain>
</file>

<file path=xl/sharedStrings.xml><?xml version="1.0" encoding="utf-8"?>
<sst xmlns="http://schemas.openxmlformats.org/spreadsheetml/2006/main" count="2742" uniqueCount="244">
  <si>
    <t>سجل متابعة الطلبة – الفصل الدراسي الأول 2026–2027</t>
  </si>
  <si>
    <t>نسخة مخصصة للفصل الدراسي الأول فقط • سبتمبر – أكتوبر – نوفمبر – ديسمبر 2026</t>
  </si>
  <si>
    <t>المدرسة</t>
  </si>
  <si>
    <t>المادة الافتراضية</t>
  </si>
  <si>
    <t>المعلم الافتراضي</t>
  </si>
  <si>
    <t>العام الأكاديمي</t>
  </si>
  <si>
    <t>الشعب المفعلة</t>
  </si>
  <si>
    <t>إجمالي الطلاب</t>
  </si>
  <si>
    <t>الملاحظات</t>
  </si>
  <si>
    <t>الغياب</t>
  </si>
  <si>
    <t>النوم</t>
  </si>
  <si>
    <t>حل الواجبات</t>
  </si>
  <si>
    <t>أشهر المتابعة في الفصل الدراسي الأول</t>
  </si>
  <si>
    <t>سبتمبر 2026</t>
  </si>
  <si>
    <t>أكتوبر 2026</t>
  </si>
  <si>
    <t>نوفمبر 2026</t>
  </si>
  <si>
    <t>ديسمبر 2026</t>
  </si>
  <si>
    <t>طريقة البدء: افتح «إعداد الشعب» وفعّل الصفحات المطلوبة، ثم حدّد المرحلة والصف والشعبة والمادة والمعلم. بعد ذلك افتح صفحة الشعبة وأدخل أسماء الطلاب، ثم سجّل المتابعة اليومية في أشهر سبتمبر إلى ديسمبر.</t>
  </si>
  <si>
    <t>خيارات التقييم – يمكن تعديل الأسماء بحرية</t>
  </si>
  <si>
    <t>البيان</t>
  </si>
  <si>
    <t>القيمة</t>
  </si>
  <si>
    <t>الصفوف</t>
  </si>
  <si>
    <t>الشعب</t>
  </si>
  <si>
    <t>المراحل</t>
  </si>
  <si>
    <t>اسم الخيار</t>
  </si>
  <si>
    <t>الاستخدام المقترح</t>
  </si>
  <si>
    <t>التصنيف</t>
  </si>
  <si>
    <t>2026-2027</t>
  </si>
  <si>
    <t>ابتدائية</t>
  </si>
  <si>
    <t>كتاب</t>
  </si>
  <si>
    <t>عدم إحضار الكتاب/المستلزمات</t>
  </si>
  <si>
    <t>ملاحظة</t>
  </si>
  <si>
    <t>اسم المدرسة</t>
  </si>
  <si>
    <t>إعدادية</t>
  </si>
  <si>
    <t>نوم</t>
  </si>
  <si>
    <t>نوم أثناء الحصة</t>
  </si>
  <si>
    <t>المادة الدراسية</t>
  </si>
  <si>
    <t>اسم المادة</t>
  </si>
  <si>
    <t>ثانوية</t>
  </si>
  <si>
    <t>سلوك</t>
  </si>
  <si>
    <t>ملاحظة سلوكية</t>
  </si>
  <si>
    <t>اسم المعلم</t>
  </si>
  <si>
    <t>أخرى</t>
  </si>
  <si>
    <t>غياب</t>
  </si>
  <si>
    <t>غياب الطالب</t>
  </si>
  <si>
    <t>عدد الطلاب المجهز لكل شعبة</t>
  </si>
  <si>
    <t>تأخر</t>
  </si>
  <si>
    <t>تأخر الطالب</t>
  </si>
  <si>
    <t>الفصل الدراسي</t>
  </si>
  <si>
    <t>الأول</t>
  </si>
  <si>
    <t>متابعة حل الواجبات</t>
  </si>
  <si>
    <t>متابعة إيجابية</t>
  </si>
  <si>
    <t>تميز ★</t>
  </si>
  <si>
    <t>مشاركة أو أداء مميز</t>
  </si>
  <si>
    <t>إيجابي</t>
  </si>
  <si>
    <t>مرجع التقويم السنوي</t>
  </si>
  <si>
    <t>https://edu.gov.qa/ar/Content/AnnualCalendar</t>
  </si>
  <si>
    <t>تفاصيل مواعيد 2026–2027</t>
  </si>
  <si>
    <t>https://alarab.qa/article/24/08/2026/التعليم-تعلن-التقويم-السنوي-للمدارس-2026-2027</t>
  </si>
  <si>
    <t>هذه النسخة مخصصة للفصل الدراسي الأول 2026–2027، وتغطي سبتمبر وأكتوبر ونوفمبر وديسمبر 2026. تم استبعاد إجازة منتصف الفصل من 25 إلى 29 أكتوبر، وتنتهي متابعة ديسمبر قبل إجازة منتصف العام.</t>
  </si>
  <si>
    <t>دليل استخدام السجل – الفصل الدراسي الأول</t>
  </si>
  <si>
    <t>الخطوة</t>
  </si>
  <si>
    <t>الإجراء</t>
  </si>
  <si>
    <t>المكان</t>
  </si>
  <si>
    <t>النتيجة</t>
  </si>
  <si>
    <t>عدّل اسم المدرسة والمادة والمعلم وخيارات التقييم.</t>
  </si>
  <si>
    <t>الإعدادات</t>
  </si>
  <si>
    <t>تتحدث البيانات تلقائيًا.</t>
  </si>
  <si>
    <t>الخيار المعتمد في المتابعة هو «نوم».</t>
  </si>
  <si>
    <t>فعّل صفحة الشعبة وحدد المرحلة والصف والشعبة والمادة والمعلم.</t>
  </si>
  <si>
    <t>إعداد الشعب</t>
  </si>
  <si>
    <t>تُخصص الصفحة للشعبة المطلوبة.</t>
  </si>
  <si>
    <t>يدعم الصفوف 1–12 والشعب 1–10.</t>
  </si>
  <si>
    <t>افتح صفحة الشعبة من لوحة الشعب.</t>
  </si>
  <si>
    <t>لوحة الشعب</t>
  </si>
  <si>
    <t>انتقال مباشر إلى سجل الشعبة.</t>
  </si>
  <si>
    <t>كل شعبة مستقلة عن الأخرى.</t>
  </si>
  <si>
    <t>أدخل أسماء الطلاب وحدد «نشط؟ = نعم».</t>
  </si>
  <si>
    <t>صفحة الشعبة</t>
  </si>
  <si>
    <t>تظهر الأسماء تلقائيًا في الأشهر الستة.</t>
  </si>
  <si>
    <t>حتى 40 طالبًا لكل شعبة.</t>
  </si>
  <si>
    <t>سجّل المتابعة اليومية.</t>
  </si>
  <si>
    <t>سبتمبر–ديسمبر 2026</t>
  </si>
  <si>
    <t>تُحسب الملخصات تلقائيًا.</t>
  </si>
  <si>
    <t>كتاب، نوم، سلوك، غياب، تأخر، حل الواجبات، تميز ★.</t>
  </si>
  <si>
    <t>اختر طالبًا في التقرير السريع.</t>
  </si>
  <si>
    <t>أعلى صفحة الشعبة</t>
  </si>
  <si>
    <t>تظهر إحصاءاته في الأشهر الستة.</t>
  </si>
  <si>
    <t>يشمل إجمالي الفصل الدراسي الأول.</t>
  </si>
  <si>
    <t>الفصل الأول</t>
  </si>
  <si>
    <t>المتابعة من سبتمبر إلى ديسمبر 2026.</t>
  </si>
  <si>
    <t>إجازة أكتوبر</t>
  </si>
  <si>
    <t>لا تظهر أيام 25–29 أكتوبر في المتابعة.</t>
  </si>
  <si>
    <t>إجازة منتصف العام تبدأ 20 ديسمبر 2026.</t>
  </si>
  <si>
    <t>إعداد الشعب – كل صف يمثل صفحة شعبة مستقلة</t>
  </si>
  <si>
    <t>فعّل الصفحات التي تحتاجها فقط، ثم حدّد المرحلة والصف والشعبة والمادة والمعلم. كل صفحة تصلح لأي صف من 1 إلى 12.</t>
  </si>
  <si>
    <t>رقم</t>
  </si>
  <si>
    <t>فعال؟</t>
  </si>
  <si>
    <t>المرحلة</t>
  </si>
  <si>
    <t>الصف</t>
  </si>
  <si>
    <t>الشعبة</t>
  </si>
  <si>
    <t>المادة</t>
  </si>
  <si>
    <t>المعلم</t>
  </si>
  <si>
    <t>الاسم المعروض</t>
  </si>
  <si>
    <t>فتح الصفحة</t>
  </si>
  <si>
    <t>ملاحظات</t>
  </si>
  <si>
    <t>لوحة الشعب – سجل متابعة الفصل الدراسي الأول 2026–2027</t>
  </si>
  <si>
    <t>لوحة التحكم</t>
  </si>
  <si>
    <t>المؤشر</t>
  </si>
  <si>
    <t>الإجمالي</t>
  </si>
  <si>
    <t>مجموع الملاحظات</t>
  </si>
  <si>
    <t>الفصل الدراسي الأول: سبتمبر – أكتوبر – نوفمبر – ديسمبر 2026</t>
  </si>
  <si>
    <t>الشعبة/المادة</t>
  </si>
  <si>
    <t>الطلاب</t>
  </si>
  <si>
    <t>تميز</t>
  </si>
  <si>
    <t>فتح</t>
  </si>
  <si>
    <t>م</t>
  </si>
  <si>
    <t>اسم الطالب</t>
  </si>
  <si>
    <t>نشط؟</t>
  </si>
  <si>
    <t>تقرير سريع لطالب – الفصل الدراسي الأول</t>
  </si>
  <si>
    <t>اختر الطالب</t>
  </si>
  <si>
    <t>الخيار</t>
  </si>
  <si>
    <t>سبتمبر</t>
  </si>
  <si>
    <t>أكتوبر</t>
  </si>
  <si>
    <t>نوفمبر</t>
  </si>
  <si>
    <t>ديسمبر</t>
  </si>
  <si>
    <t>الفصل الدراسي الأول: أدخل أسماء طلاب الشعبة أعلى الصفحة، ثم استخدم القوائم المنسدلة في سبتمبر–ديسمبر 2026. إجازة منتصف الفصل (25–29 أكتوبر) مستبعدة من التواريخ.</t>
  </si>
  <si>
    <t>متابعة شهر سبتمبر 2026</t>
  </si>
  <si>
    <t>بيانات الطالب</t>
  </si>
  <si>
    <t>المتابعة اليومية</t>
  </si>
  <si>
    <t>ملخص الشهر</t>
  </si>
  <si>
    <t>الثلاثاء
01/09</t>
  </si>
  <si>
    <t>الأربعاء
02/09</t>
  </si>
  <si>
    <t>الخميس
03/09</t>
  </si>
  <si>
    <t>الأحد
06/09</t>
  </si>
  <si>
    <t>الاثنين
07/09</t>
  </si>
  <si>
    <t>الثلاثاء
08/09</t>
  </si>
  <si>
    <t>الأربعاء
09/09</t>
  </si>
  <si>
    <t>الخميس
10/09</t>
  </si>
  <si>
    <t>الأحد
13/09</t>
  </si>
  <si>
    <t>الاثنين
14/09</t>
  </si>
  <si>
    <t>الثلاثاء
15/09</t>
  </si>
  <si>
    <t>الأربعاء
16/09</t>
  </si>
  <si>
    <t>الخميس
17/09</t>
  </si>
  <si>
    <t>الأحد
20/09</t>
  </si>
  <si>
    <t>الاثنين
21/09</t>
  </si>
  <si>
    <t>الثلاثاء
22/09</t>
  </si>
  <si>
    <t>الأربعاء
23/09</t>
  </si>
  <si>
    <t>الخميس
24/09</t>
  </si>
  <si>
    <t>الأحد
27/09</t>
  </si>
  <si>
    <t>الاثنين
28/09</t>
  </si>
  <si>
    <t>الثلاثاء
29/09</t>
  </si>
  <si>
    <t>الأربعاء
30/09</t>
  </si>
  <si>
    <t>متابعة شهر أكتوبر 2026</t>
  </si>
  <si>
    <t>الخميس
01/10</t>
  </si>
  <si>
    <t>الأحد
04/10</t>
  </si>
  <si>
    <t>الاثنين
05/10</t>
  </si>
  <si>
    <t>الثلاثاء
06/10</t>
  </si>
  <si>
    <t>الأربعاء
07/10</t>
  </si>
  <si>
    <t>الخميس
08/10</t>
  </si>
  <si>
    <t>الأحد
11/10</t>
  </si>
  <si>
    <t>الاثنين
12/10</t>
  </si>
  <si>
    <t>الثلاثاء
13/10</t>
  </si>
  <si>
    <t>الأربعاء
14/10</t>
  </si>
  <si>
    <t>الخميس
15/10</t>
  </si>
  <si>
    <t>الأحد
18/10</t>
  </si>
  <si>
    <t>الاثنين
19/10</t>
  </si>
  <si>
    <t>الثلاثاء
20/10</t>
  </si>
  <si>
    <t>الأربعاء
21/10</t>
  </si>
  <si>
    <t>الخميس
22/10</t>
  </si>
  <si>
    <t>متابعة شهر نوفمبر 2026</t>
  </si>
  <si>
    <t>الأحد
01/11</t>
  </si>
  <si>
    <t>الاثنين
02/11</t>
  </si>
  <si>
    <t>الثلاثاء
03/11</t>
  </si>
  <si>
    <t>الأربعاء
04/11</t>
  </si>
  <si>
    <t>الخميس
05/11</t>
  </si>
  <si>
    <t>الأحد
08/11</t>
  </si>
  <si>
    <t>الاثنين
09/11</t>
  </si>
  <si>
    <t>الثلاثاء
10/11</t>
  </si>
  <si>
    <t>الأربعاء
11/11</t>
  </si>
  <si>
    <t>الخميس
12/11</t>
  </si>
  <si>
    <t>الأحد
15/11</t>
  </si>
  <si>
    <t>الاثنين
16/11</t>
  </si>
  <si>
    <t>الثلاثاء
17/11</t>
  </si>
  <si>
    <t>الأربعاء
18/11</t>
  </si>
  <si>
    <t>الخميس
19/11</t>
  </si>
  <si>
    <t>الأحد
22/11</t>
  </si>
  <si>
    <t>الاثنين
23/11</t>
  </si>
  <si>
    <t>الثلاثاء
24/11</t>
  </si>
  <si>
    <t>الأربعاء
25/11</t>
  </si>
  <si>
    <t>الخميس
26/11</t>
  </si>
  <si>
    <t>الأحد
29/11</t>
  </si>
  <si>
    <t>الاثنين
30/11</t>
  </si>
  <si>
    <t>متابعة شهر ديسمبر 2026</t>
  </si>
  <si>
    <t>الثلاثاء
01/12</t>
  </si>
  <si>
    <t>الأربعاء
02/12</t>
  </si>
  <si>
    <t>الخميس
03/12</t>
  </si>
  <si>
    <t>الأحد
06/12</t>
  </si>
  <si>
    <t>الاثنين
07/12</t>
  </si>
  <si>
    <t>الثلاثاء
08/12</t>
  </si>
  <si>
    <t>الأربعاء
09/12</t>
  </si>
  <si>
    <t>الخميس
10/12</t>
  </si>
  <si>
    <t>الأحد
13/12</t>
  </si>
  <si>
    <t>الاثنين
14/12</t>
  </si>
  <si>
    <t>الثلاثاء
15/12</t>
  </si>
  <si>
    <t>الأربعاء
16/12</t>
  </si>
  <si>
    <t>الخميس
17/12</t>
  </si>
  <si>
    <t>نعم</t>
  </si>
  <si>
    <t>الحوسبة وتكنولوجيا المعلومات</t>
  </si>
  <si>
    <t>جمال صالح</t>
  </si>
  <si>
    <t>اسامه اشرف انور فتح الباب متولي</t>
  </si>
  <si>
    <t>سالم عبدالله سالم حمد هطيل</t>
  </si>
  <si>
    <t>احمد زيدان حميد ناصر</t>
  </si>
  <si>
    <t>احمد محمد رفيق نور والى</t>
  </si>
  <si>
    <t>تركى ابراهيم عبدالمنعم سايج نومان</t>
  </si>
  <si>
    <t>تميم تركى عبدالله شلاش الزكروطى</t>
  </si>
  <si>
    <t>جابر محمد متعب المنخس المرى</t>
  </si>
  <si>
    <t>حمد عامر محمد طفله المرى</t>
  </si>
  <si>
    <t>حمد على حمد طفله المرى</t>
  </si>
  <si>
    <t>حمود عطاالله حمود الفريجى الرويلى</t>
  </si>
  <si>
    <t>خالد عبدالرحمن بندر الربيعه الشمرى</t>
  </si>
  <si>
    <t>خالد ماجد نايف هايس الشمرى</t>
  </si>
  <si>
    <t>سالم عبدالرحمن حمد النهاب المرى</t>
  </si>
  <si>
    <t>سعد فالح ظافر المفقاعى الهاجرى</t>
  </si>
  <si>
    <t>صالح حمد على جرحب المرى</t>
  </si>
  <si>
    <t>عبداللة شير محمد خواجه خان</t>
  </si>
  <si>
    <t>عبدالله غانم دايل ال دواس الدوسرى</t>
  </si>
  <si>
    <t>عبيد عبدالله غنيم ال دواس الدوسرى</t>
  </si>
  <si>
    <t>عجلان سعود سعد المظفرى الهاجرى</t>
  </si>
  <si>
    <t>علي صالح محسن خالد الكربى</t>
  </si>
  <si>
    <t>عيد محمد منصور المفقاعى الهاجرى</t>
  </si>
  <si>
    <t>غانم عبدالرحمن عواد مخلف الرويلى</t>
  </si>
  <si>
    <t>فلاح صالح ناصر محسن سريب</t>
  </si>
  <si>
    <t>فهد مبارك راشد العجلان الهاجرى</t>
  </si>
  <si>
    <t>ماهر احمد ابشر</t>
  </si>
  <si>
    <t>محمد راشد مبارك ال حباب الهاجرى</t>
  </si>
  <si>
    <t>محمد كارنيل خان</t>
  </si>
  <si>
    <t>ناصر سعيد ناصر المفقاعى الهاجرى</t>
  </si>
  <si>
    <t>ناصر محمد معيكل ال دواس الدوسرى</t>
  </si>
  <si>
    <t>احمد محمد جمال مخيبر</t>
  </si>
  <si>
    <t>خالد طلال نايف سالم الشمرى</t>
  </si>
  <si>
    <t>عبدالله فهد احمد سعود المقالح</t>
  </si>
  <si>
    <t>عبدالله قاسم رئيسي</t>
  </si>
  <si>
    <t>نواف مساعد مهاوش الفريجى الرويلى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</si>
</sst>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rlito"/>
    </font>
    <font>
      <b/>
      <sz val="18"/>
      <color rgb="FFFFFFFF"/>
      <name val="Carlito"/>
    </font>
    <font>
      <b/>
      <sz val="12"/>
      <color rgb="FFFFFFFF"/>
      <name val="Carlito"/>
    </font>
    <font>
      <sz val="10"/>
      <color rgb="FF202124"/>
      <name val="Carlito"/>
    </font>
    <font>
      <b/>
      <sz val="10"/>
      <color rgb="FF16324F"/>
      <name val="Carlito"/>
    </font>
    <font>
      <b/>
      <sz val="11"/>
      <color rgb="FFFFFFFF"/>
      <name val="Carlito"/>
    </font>
    <font>
      <b/>
      <sz val="11"/>
      <color rgb="FF5F4B00"/>
      <name val="Carlito"/>
    </font>
    <font>
      <b/>
      <sz val="22"/>
      <color rgb="FF7A1732"/>
      <name val="Carlito"/>
    </font>
    <font>
      <b/>
      <sz val="10"/>
      <color rgb="FFFFFFFF"/>
      <name val="Carlito"/>
    </font>
    <font>
      <sz val="10"/>
      <color rgb="FF16324F"/>
      <name val="Carlito"/>
    </font>
    <font>
      <b/>
      <sz val="17"/>
      <color rgb="FFFFFFFF"/>
      <name val="Carlito"/>
    </font>
    <font>
      <b/>
      <sz val="11"/>
      <color rgb="FF16324F"/>
      <name val="Carlito"/>
    </font>
    <font>
      <b/>
      <sz val="16"/>
      <color rgb="FFFFFFFF"/>
      <name val="Carlito"/>
    </font>
    <font>
      <b/>
      <sz val="13"/>
      <color rgb="FFFFFFFF"/>
      <name val="Carlito"/>
    </font>
    <font>
      <b/>
      <sz val="18"/>
      <color rgb="FF7A1732"/>
      <name val="Carlito"/>
    </font>
    <font>
      <b/>
      <sz val="10"/>
      <color rgb="FF7A1732"/>
      <name val="Carlito"/>
    </font>
    <font>
      <b/>
      <sz val="19"/>
      <color rgb="FFFFFFFF"/>
      <name val="Carlito"/>
    </font>
    <font>
      <b/>
      <sz val="22"/>
      <color rgb="FF16324F"/>
      <name val="Carlito"/>
    </font>
    <font>
      <b/>
      <sz val="11"/>
      <color rgb="FF7A1732"/>
      <name val="Carlito"/>
    </font>
    <font>
      <b/>
      <sz val="12"/>
      <name val="Arial"/>
      <family val="2"/>
    </font>
    <font>
      <b/>
      <sz val="12"/>
      <name val="Traditional Arabic"/>
      <family val="1"/>
      <charset val="178"/>
    </font>
    <font>
      <b/>
      <sz val="12"/>
      <color rgb="FF92D050"/>
      <name val="Arial"/>
      <family val="2"/>
    </font>
    <font>
      <b/>
      <sz val="12"/>
      <color rgb="FF92D050"/>
      <name val="Traditional Arabic"/>
      <family val="1"/>
      <charset val="178"/>
    </font>
    <font>
      <b/>
      <sz val="12"/>
      <color rgb="FFEE0000"/>
      <name val="Arial"/>
      <family val="2"/>
    </font>
    <font>
      <b/>
      <sz val="12"/>
      <color rgb="FFEE0000"/>
      <name val="Traditional Arabic"/>
      <family val="1"/>
      <charset val="178"/>
    </font>
    <font>
      <sz val="12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7A1732"/>
      </patternFill>
    </fill>
    <fill>
      <patternFill patternType="solid">
        <fgColor rgb="FF16324F"/>
      </patternFill>
    </fill>
    <fill>
      <patternFill patternType="solid">
        <fgColor rgb="FFFFFFFF"/>
      </patternFill>
    </fill>
    <fill>
      <patternFill patternType="solid">
        <fgColor rgb="FFFFF8E6"/>
      </patternFill>
    </fill>
    <fill>
      <patternFill patternType="solid">
        <fgColor rgb="FFFFF7D9"/>
      </patternFill>
    </fill>
    <fill>
      <patternFill patternType="solid">
        <fgColor rgb="FFEAF2F8"/>
      </patternFill>
    </fill>
    <fill>
      <patternFill patternType="solid">
        <fgColor rgb="FF7A1732"/>
      </patternFill>
    </fill>
    <fill>
      <patternFill patternType="solid">
        <fgColor rgb="FFFFF7D9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FFFDF5"/>
      </patternFill>
    </fill>
    <fill>
      <patternFill patternType="solid">
        <fgColor rgb="FFF8FBFD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FFF7D9"/>
      </patternFill>
    </fill>
    <fill>
      <patternFill patternType="solid">
        <fgColor rgb="FF16324F"/>
      </patternFill>
    </fill>
    <fill>
      <patternFill patternType="solid">
        <fgColor rgb="FF7A1732"/>
      </patternFill>
    </fill>
    <fill>
      <patternFill patternType="solid">
        <fgColor rgb="FFF8FBFD"/>
      </patternFill>
    </fill>
    <fill>
      <patternFill patternType="solid">
        <fgColor rgb="FFFFF7D9"/>
      </patternFill>
    </fill>
    <fill>
      <patternFill patternType="solid">
        <fgColor rgb="FF7A1732"/>
      </patternFill>
    </fill>
    <fill>
      <patternFill patternType="solid">
        <fgColor rgb="FFFFF7D9"/>
      </patternFill>
    </fill>
    <fill>
      <patternFill patternType="solid">
        <fgColor rgb="FF16324F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FFF7D9"/>
      </patternFill>
    </fill>
    <fill>
      <patternFill patternType="solid">
        <fgColor rgb="FF7A1732"/>
      </patternFill>
    </fill>
    <fill>
      <patternFill patternType="solid">
        <fgColor rgb="FFF8FBFD"/>
      </patternFill>
    </fill>
    <fill>
      <patternFill patternType="solid">
        <fgColor rgb="FFEAF2F8"/>
      </patternFill>
    </fill>
  </fills>
  <borders count="22">
    <border>
      <left/>
      <right/>
      <top/>
      <bottom/>
      <diagonal/>
    </border>
    <border>
      <left style="thin">
        <color rgb="FFA78618"/>
      </left>
      <right style="thin">
        <color rgb="FFA78618"/>
      </right>
      <top style="thin">
        <color rgb="FFA78618"/>
      </top>
      <bottom style="thin">
        <color rgb="FFA78618"/>
      </bottom>
      <diagonal/>
    </border>
    <border>
      <left style="thin">
        <color rgb="FFD6D9DE"/>
      </left>
      <right/>
      <top style="thin">
        <color rgb="FFD6D9DE"/>
      </top>
      <bottom/>
      <diagonal/>
    </border>
    <border>
      <left/>
      <right/>
      <top style="thin">
        <color rgb="FFD6D9DE"/>
      </top>
      <bottom/>
      <diagonal/>
    </border>
    <border>
      <left/>
      <right style="thin">
        <color rgb="FFD6D9DE"/>
      </right>
      <top style="thin">
        <color rgb="FFD6D9DE"/>
      </top>
      <bottom/>
      <diagonal/>
    </border>
    <border>
      <left style="thin">
        <color rgb="FFD6D9DE"/>
      </left>
      <right/>
      <top/>
      <bottom/>
      <diagonal/>
    </border>
    <border>
      <left/>
      <right style="thin">
        <color rgb="FFD6D9DE"/>
      </right>
      <top/>
      <bottom/>
      <diagonal/>
    </border>
    <border>
      <left style="thin">
        <color rgb="FFD6D9DE"/>
      </left>
      <right/>
      <top/>
      <bottom style="thin">
        <color rgb="FFD6D9DE"/>
      </bottom>
      <diagonal/>
    </border>
    <border>
      <left/>
      <right/>
      <top/>
      <bottom style="thin">
        <color rgb="FFD6D9DE"/>
      </bottom>
      <diagonal/>
    </border>
    <border>
      <left/>
      <right style="thin">
        <color rgb="FFD6D9DE"/>
      </right>
      <top/>
      <bottom style="thin">
        <color rgb="FFD6D9DE"/>
      </bottom>
      <diagonal/>
    </border>
    <border>
      <left style="thin">
        <color rgb="FFD6D9DE"/>
      </left>
      <right/>
      <top style="thin">
        <color rgb="FFD6D9DE"/>
      </top>
      <bottom style="thin">
        <color rgb="FFD6D9DE"/>
      </bottom>
      <diagonal/>
    </border>
    <border>
      <left/>
      <right style="thin">
        <color rgb="FFD6D9DE"/>
      </right>
      <top style="thin">
        <color rgb="FFD6D9DE"/>
      </top>
      <bottom style="thin">
        <color rgb="FFD6D9DE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D6D9DE"/>
      </right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D6D9DE"/>
      </top>
      <bottom style="thin">
        <color rgb="FFD6D9D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5" fillId="8" borderId="0" xfId="0" applyFont="1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10" borderId="3" xfId="0" applyFill="1" applyBorder="1"/>
    <xf numFmtId="0" fontId="0" fillId="10" borderId="0" xfId="0" applyFill="1"/>
    <xf numFmtId="0" fontId="0" fillId="10" borderId="8" xfId="0" applyFill="1" applyBorder="1"/>
    <xf numFmtId="0" fontId="11" fillId="10" borderId="3" xfId="0" applyFont="1" applyFill="1" applyBorder="1"/>
    <xf numFmtId="0" fontId="11" fillId="10" borderId="0" xfId="0" applyFont="1" applyFill="1"/>
    <xf numFmtId="0" fontId="11" fillId="10" borderId="8" xfId="0" applyFont="1" applyFill="1" applyBorder="1"/>
    <xf numFmtId="0" fontId="8" fillId="11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/>
    </xf>
    <xf numFmtId="0" fontId="0" fillId="12" borderId="3" xfId="0" applyFill="1" applyBorder="1"/>
    <xf numFmtId="0" fontId="0" fillId="12" borderId="0" xfId="0" applyFill="1"/>
    <xf numFmtId="0" fontId="0" fillId="12" borderId="8" xfId="0" applyFill="1" applyBorder="1"/>
    <xf numFmtId="0" fontId="13" fillId="8" borderId="0" xfId="0" applyFont="1" applyFill="1" applyAlignment="1">
      <alignment horizontal="center"/>
    </xf>
    <xf numFmtId="0" fontId="0" fillId="13" borderId="3" xfId="0" applyFill="1" applyBorder="1"/>
    <xf numFmtId="0" fontId="0" fillId="13" borderId="4" xfId="0" applyFill="1" applyBorder="1"/>
    <xf numFmtId="0" fontId="0" fillId="13" borderId="0" xfId="0" applyFill="1"/>
    <xf numFmtId="0" fontId="0" fillId="13" borderId="6" xfId="0" applyFill="1" applyBorder="1"/>
    <xf numFmtId="0" fontId="0" fillId="13" borderId="8" xfId="0" applyFill="1" applyBorder="1"/>
    <xf numFmtId="0" fontId="0" fillId="13" borderId="9" xfId="0" applyFill="1" applyBorder="1"/>
    <xf numFmtId="0" fontId="11" fillId="15" borderId="10" xfId="0" applyFont="1" applyFill="1" applyBorder="1"/>
    <xf numFmtId="0" fontId="0" fillId="0" borderId="11" xfId="0" applyBorder="1"/>
    <xf numFmtId="0" fontId="8" fillId="17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/>
    </xf>
    <xf numFmtId="0" fontId="0" fillId="19" borderId="3" xfId="0" applyFill="1" applyBorder="1"/>
    <xf numFmtId="0" fontId="0" fillId="19" borderId="4" xfId="0" applyFill="1" applyBorder="1"/>
    <xf numFmtId="0" fontId="0" fillId="19" borderId="0" xfId="0" applyFill="1"/>
    <xf numFmtId="0" fontId="0" fillId="19" borderId="6" xfId="0" applyFill="1" applyBorder="1"/>
    <xf numFmtId="0" fontId="0" fillId="19" borderId="8" xfId="0" applyFill="1" applyBorder="1"/>
    <xf numFmtId="0" fontId="0" fillId="19" borderId="9" xfId="0" applyFill="1" applyBorder="1"/>
    <xf numFmtId="0" fontId="6" fillId="16" borderId="0" xfId="0" applyFont="1" applyFill="1" applyAlignment="1">
      <alignment horizontal="right" vertical="center" wrapText="1"/>
    </xf>
    <xf numFmtId="0" fontId="15" fillId="20" borderId="12" xfId="0" applyFont="1" applyFill="1" applyBorder="1" applyAlignment="1">
      <alignment horizontal="center" vertical="center"/>
    </xf>
    <xf numFmtId="0" fontId="15" fillId="20" borderId="13" xfId="0" applyFont="1" applyFill="1" applyBorder="1" applyAlignment="1">
      <alignment horizontal="center" vertical="center"/>
    </xf>
    <xf numFmtId="0" fontId="15" fillId="20" borderId="14" xfId="0" applyFont="1" applyFill="1" applyBorder="1" applyAlignment="1">
      <alignment horizontal="center" vertical="center"/>
    </xf>
    <xf numFmtId="0" fontId="15" fillId="20" borderId="15" xfId="0" applyFont="1" applyFill="1" applyBorder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8" fillId="23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vertical="center" wrapText="1"/>
    </xf>
    <xf numFmtId="0" fontId="18" fillId="22" borderId="2" xfId="0" applyFont="1" applyFill="1" applyBorder="1" applyAlignment="1">
      <alignment horizontal="center" vertical="center" wrapText="1"/>
    </xf>
    <xf numFmtId="0" fontId="15" fillId="22" borderId="7" xfId="0" applyFont="1" applyFill="1" applyBorder="1" applyAlignment="1">
      <alignment vertical="center" wrapText="1"/>
    </xf>
    <xf numFmtId="0" fontId="11" fillId="27" borderId="0" xfId="0" applyFont="1" applyFill="1"/>
    <xf numFmtId="0" fontId="5" fillId="28" borderId="0" xfId="0" applyFont="1" applyFill="1" applyAlignment="1">
      <alignment horizontal="center" vertical="center" wrapText="1"/>
    </xf>
    <xf numFmtId="0" fontId="0" fillId="29" borderId="3" xfId="0" applyFill="1" applyBorder="1"/>
    <xf numFmtId="0" fontId="0" fillId="29" borderId="4" xfId="0" applyFill="1" applyBorder="1"/>
    <xf numFmtId="0" fontId="0" fillId="29" borderId="0" xfId="0" applyFill="1"/>
    <xf numFmtId="0" fontId="0" fillId="29" borderId="6" xfId="0" applyFill="1" applyBorder="1"/>
    <xf numFmtId="0" fontId="0" fillId="29" borderId="8" xfId="0" applyFill="1" applyBorder="1"/>
    <xf numFmtId="0" fontId="0" fillId="29" borderId="9" xfId="0" applyFill="1" applyBorder="1"/>
    <xf numFmtId="0" fontId="11" fillId="30" borderId="2" xfId="0" applyFont="1" applyFill="1" applyBorder="1"/>
    <xf numFmtId="0" fontId="11" fillId="30" borderId="5" xfId="0" applyFont="1" applyFill="1" applyBorder="1"/>
    <xf numFmtId="0" fontId="11" fillId="30" borderId="7" xfId="0" applyFont="1" applyFill="1" applyBorder="1"/>
    <xf numFmtId="0" fontId="15" fillId="27" borderId="10" xfId="0" applyFont="1" applyFill="1" applyBorder="1" applyAlignment="1">
      <alignment horizontal="center" vertical="center"/>
    </xf>
    <xf numFmtId="0" fontId="15" fillId="27" borderId="16" xfId="0" applyFont="1" applyFill="1" applyBorder="1" applyAlignment="1">
      <alignment horizontal="center" vertical="center"/>
    </xf>
    <xf numFmtId="0" fontId="15" fillId="27" borderId="11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9" xfId="0" applyBorder="1" applyAlignment="1">
      <alignment wrapText="1"/>
    </xf>
    <xf numFmtId="0" fontId="15" fillId="22" borderId="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 readingOrder="2"/>
    </xf>
    <xf numFmtId="0" fontId="19" fillId="0" borderId="18" xfId="0" applyFont="1" applyBorder="1" applyAlignment="1">
      <alignment horizontal="center" vertical="center" wrapText="1" readingOrder="2"/>
    </xf>
    <xf numFmtId="0" fontId="21" fillId="0" borderId="18" xfId="0" applyFont="1" applyBorder="1" applyAlignment="1">
      <alignment horizontal="center" vertical="center" wrapText="1" readingOrder="2"/>
    </xf>
    <xf numFmtId="0" fontId="23" fillId="0" borderId="18" xfId="0" applyFont="1" applyBorder="1" applyAlignment="1">
      <alignment horizontal="center" vertical="center" wrapText="1" readingOrder="2"/>
    </xf>
    <xf numFmtId="0" fontId="20" fillId="0" borderId="19" xfId="0" applyFont="1" applyBorder="1" applyAlignment="1">
      <alignment horizontal="center" vertical="center" wrapText="1" readingOrder="2"/>
    </xf>
    <xf numFmtId="0" fontId="24" fillId="0" borderId="20" xfId="0" applyFont="1" applyBorder="1" applyAlignment="1">
      <alignment horizontal="center" vertical="center" wrapText="1" readingOrder="2"/>
    </xf>
    <xf numFmtId="0" fontId="20" fillId="0" borderId="20" xfId="0" applyFont="1" applyBorder="1" applyAlignment="1">
      <alignment horizontal="center" vertical="center" wrapText="1" readingOrder="2"/>
    </xf>
    <xf numFmtId="0" fontId="22" fillId="0" borderId="20" xfId="0" applyFont="1" applyBorder="1" applyAlignment="1">
      <alignment horizontal="center" vertical="center" wrapText="1" readingOrder="2"/>
    </xf>
    <xf numFmtId="0" fontId="25" fillId="0" borderId="21" xfId="0" applyFont="1" applyBorder="1" applyAlignment="1">
      <alignment horizontal="center" vertical="center" wrapText="1" readingOrder="2"/>
    </xf>
    <xf numFmtId="0" fontId="12" fillId="8" borderId="0" xfId="0" applyFont="1" applyFill="1" applyAlignment="1">
      <alignment horizontal="center"/>
    </xf>
    <xf numFmtId="0" fontId="8" fillId="11" borderId="0" xfId="0" applyFont="1" applyFill="1" applyAlignment="1">
      <alignment horizontal="center" vertical="center" wrapText="1"/>
    </xf>
    <xf numFmtId="0" fontId="0" fillId="0" borderId="0" xfId="0"/>
    <xf numFmtId="0" fontId="14" fillId="14" borderId="0" xfId="0" applyFont="1" applyFill="1" applyAlignment="1">
      <alignment horizontal="center"/>
    </xf>
    <xf numFmtId="0" fontId="13" fillId="28" borderId="0" xfId="0" applyFont="1" applyFill="1" applyAlignment="1">
      <alignment horizontal="center"/>
    </xf>
    <xf numFmtId="0" fontId="8" fillId="26" borderId="0" xfId="0" applyFont="1" applyFill="1" applyAlignment="1">
      <alignment horizontal="center" vertical="center" wrapText="1"/>
    </xf>
    <xf numFmtId="0" fontId="6" fillId="27" borderId="0" xfId="0" applyFont="1" applyFill="1" applyAlignment="1">
      <alignment horizontal="right" vertical="center" wrapText="1"/>
    </xf>
    <xf numFmtId="0" fontId="16" fillId="21" borderId="0" xfId="0" applyFont="1" applyFill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5" fillId="23" borderId="10" xfId="0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17" fillId="24" borderId="10" xfId="0" applyFont="1" applyFill="1" applyBorder="1" applyAlignment="1">
      <alignment horizontal="center" vertical="center"/>
    </xf>
    <xf numFmtId="0" fontId="17" fillId="24" borderId="1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right" vertical="center" wrapText="1"/>
    </xf>
    <xf numFmtId="0" fontId="8" fillId="23" borderId="0" xfId="0" applyFont="1" applyFill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/>
    </xf>
    <xf numFmtId="0" fontId="7" fillId="24" borderId="4" xfId="0" applyFont="1" applyFill="1" applyBorder="1" applyAlignment="1">
      <alignment horizontal="center" vertical="center"/>
    </xf>
    <xf numFmtId="0" fontId="7" fillId="24" borderId="7" xfId="0" applyFont="1" applyFill="1" applyBorder="1" applyAlignment="1">
      <alignment horizontal="center" vertical="center" wrapText="1"/>
    </xf>
    <xf numFmtId="0" fontId="7" fillId="24" borderId="9" xfId="0" applyFont="1" applyFill="1" applyBorder="1" applyAlignment="1">
      <alignment horizontal="center" vertical="center" wrapText="1"/>
    </xf>
    <xf numFmtId="0" fontId="7" fillId="24" borderId="9" xfId="0" applyFont="1" applyFill="1" applyBorder="1" applyAlignment="1">
      <alignment horizontal="center" vertical="center"/>
    </xf>
    <xf numFmtId="0" fontId="18" fillId="22" borderId="2" xfId="0" applyFont="1" applyFill="1" applyBorder="1" applyAlignment="1">
      <alignment horizontal="center" vertical="center"/>
    </xf>
    <xf numFmtId="0" fontId="18" fillId="22" borderId="4" xfId="0" applyFont="1" applyFill="1" applyBorder="1" applyAlignment="1">
      <alignment horizontal="center" vertical="center"/>
    </xf>
    <xf numFmtId="0" fontId="18" fillId="22" borderId="7" xfId="0" applyFont="1" applyFill="1" applyBorder="1" applyAlignment="1">
      <alignment horizontal="center" vertical="center"/>
    </xf>
    <xf numFmtId="0" fontId="18" fillId="22" borderId="9" xfId="0" applyFont="1" applyFill="1" applyBorder="1" applyAlignment="1">
      <alignment horizontal="center" vertical="center"/>
    </xf>
    <xf numFmtId="0" fontId="11" fillId="25" borderId="2" xfId="0" applyFont="1" applyFill="1" applyBorder="1" applyAlignment="1">
      <alignment horizontal="right" vertical="center" wrapText="1"/>
    </xf>
    <xf numFmtId="0" fontId="11" fillId="25" borderId="3" xfId="0" applyFont="1" applyFill="1" applyBorder="1" applyAlignment="1">
      <alignment horizontal="right" vertical="center" wrapText="1"/>
    </xf>
    <xf numFmtId="0" fontId="11" fillId="25" borderId="4" xfId="0" applyFont="1" applyFill="1" applyBorder="1" applyAlignment="1">
      <alignment horizontal="right" vertical="center" wrapText="1"/>
    </xf>
    <xf numFmtId="0" fontId="11" fillId="25" borderId="5" xfId="0" applyFont="1" applyFill="1" applyBorder="1" applyAlignment="1">
      <alignment horizontal="right" vertical="center" wrapText="1"/>
    </xf>
    <xf numFmtId="0" fontId="11" fillId="25" borderId="0" xfId="0" applyFont="1" applyFill="1" applyAlignment="1">
      <alignment horizontal="right" vertical="center" wrapText="1"/>
    </xf>
    <xf numFmtId="0" fontId="11" fillId="25" borderId="6" xfId="0" applyFont="1" applyFill="1" applyBorder="1" applyAlignment="1">
      <alignment horizontal="right" vertical="center" wrapText="1"/>
    </xf>
    <xf numFmtId="0" fontId="11" fillId="25" borderId="7" xfId="0" applyFont="1" applyFill="1" applyBorder="1" applyAlignment="1">
      <alignment horizontal="right" vertical="center" wrapText="1"/>
    </xf>
    <xf numFmtId="0" fontId="11" fillId="25" borderId="8" xfId="0" applyFont="1" applyFill="1" applyBorder="1" applyAlignment="1">
      <alignment horizontal="right" vertical="center" wrapText="1"/>
    </xf>
    <xf numFmtId="0" fontId="11" fillId="25" borderId="9" xfId="0" applyFont="1" applyFill="1" applyBorder="1" applyAlignment="1">
      <alignment horizontal="right" vertical="center" wrapText="1"/>
    </xf>
    <xf numFmtId="0" fontId="7" fillId="24" borderId="7" xfId="0" applyFont="1" applyFill="1" applyBorder="1" applyAlignment="1">
      <alignment horizontal="center" vertical="center"/>
    </xf>
    <xf numFmtId="0" fontId="5" fillId="2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right" wrapText="1"/>
    </xf>
    <xf numFmtId="0" fontId="10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6" fillId="16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/>
    </xf>
  </cellXfs>
  <cellStyles count="1">
    <cellStyle name="Normal" xfId="0" builtinId="0"/>
  </cellStyles>
  <dxfs count="1393"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5F4B00"/>
      </font>
      <fill>
        <patternFill patternType="solid">
          <bgColor rgb="FFFFF4C2"/>
        </patternFill>
      </fill>
    </dxf>
    <dxf>
      <font>
        <b/>
        <color rgb="FF16324F"/>
      </font>
      <fill>
        <patternFill patternType="solid">
          <bgColor rgb="FFE5F1FF"/>
        </patternFill>
      </fill>
    </dxf>
    <dxf>
      <font>
        <b/>
        <color rgb="FF7A1732"/>
      </font>
      <fill>
        <patternFill patternType="solid">
          <bgColor rgb="FFFDE1E1"/>
        </patternFill>
      </fill>
    </dxf>
    <dxf>
      <font>
        <b/>
        <color rgb="FF7A1732"/>
      </font>
      <fill>
        <patternFill patternType="solid">
          <bgColor rgb="FFFADBD8"/>
        </patternFill>
      </fill>
    </dxf>
    <dxf>
      <font>
        <b/>
        <color rgb="FF7A4A00"/>
      </font>
      <fill>
        <patternFill patternType="solid">
          <bgColor rgb="FFFFECD3"/>
        </patternFill>
      </fill>
    </dxf>
    <dxf>
      <font>
        <b/>
        <color rgb="FF174D2D"/>
      </font>
      <fill>
        <patternFill patternType="solid">
          <bgColor rgb="FFE0F4E8"/>
        </patternFill>
      </fill>
    </dxf>
    <dxf>
      <font>
        <b/>
        <color rgb="FF6B5200"/>
      </font>
      <fill>
        <patternFill patternType="solid">
          <bgColor rgb="FFFFF0B3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  <dxf>
      <font>
        <b/>
        <color rgb="FF6B5200"/>
      </font>
      <fill>
        <patternFill>
          <bgColor rgb="FFFFF0B3"/>
        </patternFill>
      </fill>
    </dxf>
    <dxf>
      <font>
        <b/>
        <color rgb="FF174D2D"/>
      </font>
      <fill>
        <patternFill>
          <bgColor rgb="FFE0F4E8"/>
        </patternFill>
      </fill>
    </dxf>
    <dxf>
      <font>
        <b/>
        <color rgb="FF7A4A00"/>
      </font>
      <fill>
        <patternFill>
          <bgColor rgb="FFFFECD3"/>
        </patternFill>
      </fill>
    </dxf>
    <dxf>
      <font>
        <b/>
        <color rgb="FF7A1732"/>
      </font>
      <fill>
        <patternFill>
          <bgColor rgb="FFFADBD8"/>
        </patternFill>
      </fill>
    </dxf>
    <dxf>
      <font>
        <b/>
        <color rgb="FF7A1732"/>
      </font>
      <fill>
        <patternFill>
          <bgColor rgb="FFFDE1E1"/>
        </patternFill>
      </fill>
    </dxf>
    <dxf>
      <font>
        <b/>
        <color rgb="FF16324F"/>
      </font>
      <fill>
        <patternFill>
          <bgColor rgb="FFE5F1FF"/>
        </patternFill>
      </fill>
    </dxf>
    <dxf>
      <font>
        <b/>
        <color rgb="FF5F4B00"/>
      </font>
      <fill>
        <patternFill>
          <bgColor rgb="FFFFF4C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ar-QA"/>
              <a:t>المؤشرات العامة لجميع الشعب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الإجمالي</c:v>
          </c:tx>
          <c:invertIfNegative val="1"/>
          <c:cat>
            <c:strRef>
              <c:f>'لوحة الشعب'!$P$3:$P$7</c:f>
              <c:strCache>
                <c:ptCount val="5"/>
                <c:pt idx="0">
                  <c:v>مجموع الملاحظات</c:v>
                </c:pt>
                <c:pt idx="1">
                  <c:v>الغياب</c:v>
                </c:pt>
                <c:pt idx="2">
                  <c:v>النوم</c:v>
                </c:pt>
                <c:pt idx="3">
                  <c:v>حل الواجبات</c:v>
                </c:pt>
                <c:pt idx="4">
                  <c:v>تميز ★</c:v>
                </c:pt>
              </c:strCache>
            </c:strRef>
          </c:cat>
          <c:val>
            <c:numRef>
              <c:f>'لوحة الشعب'!$Q$3:$Q$7</c:f>
              <c:numCache>
                <c:formatCode>General</c:formatCode>
                <c:ptCount val="5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A-4092-99FC-DC8608F19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</xdr:row>
      <xdr:rowOff>0</xdr:rowOff>
    </xdr:from>
    <xdr:to>
      <xdr:col>23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rightToLeft="1" workbookViewId="0">
      <selection sqref="A1:H2"/>
    </sheetView>
  </sheetViews>
  <sheetFormatPr defaultRowHeight="14.25"/>
  <cols>
    <col min="1" max="12" width="14" customWidth="1"/>
  </cols>
  <sheetData>
    <row r="1" spans="1:12" ht="33.950000000000003" customHeight="1">
      <c r="A1" s="94" t="s">
        <v>0</v>
      </c>
      <c r="B1" s="94"/>
      <c r="C1" s="94"/>
      <c r="D1" s="94"/>
      <c r="E1" s="94"/>
      <c r="F1" s="94"/>
      <c r="G1" s="94"/>
      <c r="H1" s="94"/>
      <c r="I1" s="50"/>
      <c r="J1" s="50"/>
      <c r="K1" s="50"/>
      <c r="L1" s="50"/>
    </row>
    <row r="2" spans="1:12" ht="32.1" customHeight="1">
      <c r="A2" s="95" t="s">
        <v>1</v>
      </c>
      <c r="B2" s="95"/>
      <c r="C2" s="95"/>
      <c r="D2" s="95"/>
      <c r="E2" s="95"/>
      <c r="F2" s="95"/>
      <c r="G2" s="95"/>
      <c r="H2" s="95"/>
      <c r="I2" s="51"/>
      <c r="J2" s="51"/>
      <c r="K2" s="51"/>
      <c r="L2" s="51"/>
    </row>
    <row r="3" spans="1:12" ht="15.75">
      <c r="A3" s="1"/>
      <c r="B3" s="1"/>
      <c r="C3" s="1"/>
      <c r="D3" s="1"/>
      <c r="E3" s="1"/>
      <c r="F3" s="1"/>
      <c r="G3" s="1"/>
      <c r="H3" s="1"/>
    </row>
    <row r="4" spans="1:12" ht="15">
      <c r="A4" s="96" t="str">
        <f>HYPERLINK("#'لوحة الشعب'!A1","لوحة الشعب")</f>
        <v>لوحة الشعب</v>
      </c>
      <c r="B4" s="97"/>
      <c r="C4" s="96" t="str">
        <f>HYPERLINK("#'إعداد الشعب'!A1","إعداد الشعب")</f>
        <v>إعداد الشعب</v>
      </c>
      <c r="D4" s="97"/>
      <c r="E4" s="96" t="str">
        <f>HYPERLINK("#'الإعدادات'!A1","الإعدادات")</f>
        <v>الإعدادات</v>
      </c>
      <c r="F4" s="97"/>
      <c r="G4" s="96" t="str">
        <f>HYPERLINK("#'دليل الاستخدام'!A1","دليل الاستخدام")</f>
        <v>دليل الاستخدام</v>
      </c>
      <c r="H4" s="97"/>
    </row>
    <row r="6" spans="1:12" ht="15.75">
      <c r="A6" s="52" t="s">
        <v>2</v>
      </c>
      <c r="B6" s="1"/>
      <c r="C6" s="52" t="s">
        <v>3</v>
      </c>
      <c r="D6" s="1"/>
      <c r="E6" s="52" t="s">
        <v>4</v>
      </c>
      <c r="F6" s="1"/>
      <c r="G6" s="52" t="s">
        <v>5</v>
      </c>
      <c r="H6" s="1"/>
    </row>
    <row r="7" spans="1:12">
      <c r="A7" s="98" t="str">
        <f>الإعدادات!B5</f>
        <v>اسم المدرسة</v>
      </c>
      <c r="B7" s="99"/>
      <c r="C7" s="98" t="str">
        <f>الإعدادات!B6</f>
        <v>اسم المادة</v>
      </c>
      <c r="D7" s="99"/>
      <c r="E7" s="98" t="str">
        <f>الإعدادات!B7</f>
        <v>اسم المعلم</v>
      </c>
      <c r="F7" s="99"/>
      <c r="G7" s="98" t="str">
        <f>الإعدادات!B4</f>
        <v>2026-2027</v>
      </c>
      <c r="H7" s="99"/>
    </row>
    <row r="8" spans="1:12">
      <c r="A8" s="100"/>
      <c r="B8" s="100"/>
      <c r="C8" s="100"/>
      <c r="D8" s="100"/>
      <c r="E8" s="100"/>
      <c r="F8" s="100"/>
      <c r="G8" s="100"/>
      <c r="H8" s="100"/>
    </row>
    <row r="9" spans="1:12" ht="26.1" customHeight="1">
      <c r="A9" s="102" t="s">
        <v>6</v>
      </c>
      <c r="B9" s="102"/>
      <c r="C9" s="102" t="s">
        <v>7</v>
      </c>
      <c r="D9" s="102"/>
      <c r="E9" s="102" t="s">
        <v>8</v>
      </c>
      <c r="F9" s="102"/>
      <c r="G9" s="102" t="s">
        <v>9</v>
      </c>
      <c r="H9" s="102"/>
      <c r="I9" s="102" t="s">
        <v>10</v>
      </c>
      <c r="J9" s="102"/>
      <c r="K9" s="102" t="s">
        <v>11</v>
      </c>
      <c r="L9" s="102"/>
    </row>
    <row r="10" spans="1:12">
      <c r="A10" s="103">
        <f>'لوحة الشعب'!A6</f>
        <v>6</v>
      </c>
      <c r="B10" s="104"/>
      <c r="C10" s="103">
        <f>'لوحة الشعب'!C6</f>
        <v>0</v>
      </c>
      <c r="D10" s="104"/>
      <c r="E10" s="103">
        <f>'لوحة الشعب'!E6</f>
        <v>9</v>
      </c>
      <c r="F10" s="104"/>
      <c r="G10" s="103">
        <f>'لوحة الشعب'!G6</f>
        <v>0</v>
      </c>
      <c r="H10" s="104"/>
      <c r="I10" s="103">
        <f>'لوحة الشعب'!I6</f>
        <v>0</v>
      </c>
      <c r="J10" s="104"/>
      <c r="K10" s="103">
        <f>'لوحة الشعب'!Q6</f>
        <v>0</v>
      </c>
      <c r="L10" s="104"/>
    </row>
    <row r="11" spans="1:12">
      <c r="A11" s="105"/>
      <c r="B11" s="106"/>
      <c r="C11" s="105"/>
      <c r="D11" s="106"/>
      <c r="E11" s="105"/>
      <c r="F11" s="107"/>
      <c r="G11" s="105"/>
      <c r="H11" s="106"/>
      <c r="I11" s="121"/>
      <c r="J11" s="107"/>
      <c r="K11" s="121"/>
      <c r="L11" s="107"/>
    </row>
    <row r="12" spans="1:12">
      <c r="A12" s="3"/>
      <c r="B12" s="2"/>
      <c r="C12" s="2"/>
      <c r="D12" s="2"/>
      <c r="E12" s="2"/>
      <c r="G12" s="2"/>
      <c r="H12" s="2"/>
    </row>
    <row r="13" spans="1:12">
      <c r="A13" s="3"/>
      <c r="B13" s="2"/>
      <c r="C13" s="2"/>
      <c r="D13" s="2"/>
      <c r="E13" s="2"/>
      <c r="G13" s="2"/>
      <c r="H13" s="2"/>
    </row>
    <row r="14" spans="1:12" ht="15">
      <c r="A14" s="122" t="s">
        <v>12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</row>
    <row r="15" spans="1:12">
      <c r="A15" s="108" t="s">
        <v>13</v>
      </c>
      <c r="B15" s="109"/>
      <c r="C15" s="108" t="s">
        <v>14</v>
      </c>
      <c r="D15" s="109"/>
      <c r="E15" s="108" t="s">
        <v>15</v>
      </c>
      <c r="F15" s="109"/>
      <c r="G15" s="108" t="s">
        <v>16</v>
      </c>
      <c r="H15" s="109"/>
      <c r="I15" s="108"/>
      <c r="J15" s="109"/>
      <c r="K15" s="108"/>
      <c r="L15" s="109"/>
    </row>
    <row r="16" spans="1:12">
      <c r="A16" s="110"/>
      <c r="B16" s="111"/>
      <c r="C16" s="110"/>
      <c r="D16" s="111"/>
      <c r="E16" s="110"/>
      <c r="F16" s="111"/>
      <c r="G16" s="110"/>
      <c r="H16" s="111"/>
      <c r="I16" s="110"/>
      <c r="J16" s="111"/>
      <c r="K16" s="110"/>
      <c r="L16" s="111"/>
    </row>
    <row r="17" spans="1:12">
      <c r="A17" s="3"/>
      <c r="B17" s="2"/>
      <c r="C17" s="2"/>
      <c r="D17" s="2"/>
      <c r="E17" s="2"/>
    </row>
    <row r="18" spans="1:12">
      <c r="A18" s="3"/>
      <c r="B18" s="2"/>
      <c r="C18" s="2"/>
      <c r="D18" s="2"/>
      <c r="E18" s="2"/>
    </row>
    <row r="19" spans="1:12">
      <c r="A19" s="112" t="s">
        <v>17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4"/>
    </row>
    <row r="20" spans="1:12">
      <c r="A20" s="115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7"/>
    </row>
    <row r="21" spans="1:12">
      <c r="A21" s="118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20"/>
    </row>
    <row r="40" spans="1:8">
      <c r="A40" s="101"/>
      <c r="B40" s="101"/>
      <c r="C40" s="101"/>
      <c r="D40" s="101"/>
      <c r="E40" s="101"/>
      <c r="F40" s="101"/>
      <c r="G40" s="101"/>
      <c r="H40" s="101"/>
    </row>
    <row r="41" spans="1:8">
      <c r="A41" s="101"/>
      <c r="B41" s="101"/>
      <c r="C41" s="101"/>
      <c r="D41" s="101"/>
      <c r="E41" s="101"/>
      <c r="F41" s="101"/>
      <c r="G41" s="101"/>
      <c r="H41" s="101"/>
    </row>
  </sheetData>
  <mergeCells count="27">
    <mergeCell ref="I15:J16"/>
    <mergeCell ref="K15:L16"/>
    <mergeCell ref="A19:L21"/>
    <mergeCell ref="I9:J9"/>
    <mergeCell ref="I10:J11"/>
    <mergeCell ref="K9:L9"/>
    <mergeCell ref="K10:L11"/>
    <mergeCell ref="A14:L14"/>
    <mergeCell ref="A7:B8"/>
    <mergeCell ref="C7:D8"/>
    <mergeCell ref="E7:F8"/>
    <mergeCell ref="G7:H8"/>
    <mergeCell ref="A40:H41"/>
    <mergeCell ref="A9:H9"/>
    <mergeCell ref="A10:B11"/>
    <mergeCell ref="C10:D11"/>
    <mergeCell ref="E10:F11"/>
    <mergeCell ref="G10:H11"/>
    <mergeCell ref="A15:B16"/>
    <mergeCell ref="C15:D16"/>
    <mergeCell ref="E15:F16"/>
    <mergeCell ref="G15:H16"/>
    <mergeCell ref="A1:H2"/>
    <mergeCell ref="A4:B4"/>
    <mergeCell ref="C4:D4"/>
    <mergeCell ref="E4:F4"/>
    <mergeCell ref="G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rightToLeft="1" workbookViewId="0">
      <selection sqref="A1:J1"/>
    </sheetView>
  </sheetViews>
  <sheetFormatPr defaultRowHeight="14.25"/>
  <cols>
    <col min="1" max="1" width="26" customWidth="1"/>
    <col min="2" max="2" width="38" customWidth="1"/>
    <col min="4" max="6" width="15" customWidth="1"/>
    <col min="8" max="8" width="22" customWidth="1"/>
    <col min="9" max="9" width="34" customWidth="1"/>
    <col min="10" max="10" width="18" customWidth="1"/>
  </cols>
  <sheetData>
    <row r="1" spans="1:10" ht="33.950000000000003" customHeight="1">
      <c r="A1" s="123" t="str">
        <f>HYPERLINK("#'لوحة التحكم'!A1","⌂ إعدادات سجل متابعة الطلبة – الفصل الدراسي الأول 2026–2027")</f>
        <v>⌂ إعدادات سجل متابعة الطلبة – الفصل الدراسي الأول 2026–2027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15.75">
      <c r="H2" s="124" t="s">
        <v>18</v>
      </c>
      <c r="I2" s="124"/>
      <c r="J2" s="124"/>
    </row>
    <row r="3" spans="1:10" ht="15.75">
      <c r="A3" s="1" t="s">
        <v>19</v>
      </c>
      <c r="B3" s="1" t="s">
        <v>20</v>
      </c>
      <c r="D3" s="1" t="s">
        <v>21</v>
      </c>
      <c r="E3" s="1" t="s">
        <v>22</v>
      </c>
      <c r="F3" s="1" t="s">
        <v>23</v>
      </c>
      <c r="H3" s="4" t="s">
        <v>24</v>
      </c>
      <c r="I3" s="4" t="s">
        <v>25</v>
      </c>
      <c r="J3" s="4" t="s">
        <v>26</v>
      </c>
    </row>
    <row r="4" spans="1:10">
      <c r="A4" s="3" t="s">
        <v>5</v>
      </c>
      <c r="B4" s="2" t="s">
        <v>27</v>
      </c>
      <c r="D4" s="2">
        <v>1</v>
      </c>
      <c r="E4" s="2">
        <v>1</v>
      </c>
      <c r="F4" s="2" t="s">
        <v>28</v>
      </c>
      <c r="H4" s="5" t="s">
        <v>29</v>
      </c>
      <c r="I4" s="2" t="s">
        <v>30</v>
      </c>
      <c r="J4" s="2" t="s">
        <v>31</v>
      </c>
    </row>
    <row r="5" spans="1:10">
      <c r="A5" s="3" t="s">
        <v>32</v>
      </c>
      <c r="B5" s="2" t="s">
        <v>32</v>
      </c>
      <c r="D5" s="2">
        <v>2</v>
      </c>
      <c r="E5" s="2">
        <v>2</v>
      </c>
      <c r="F5" s="2" t="s">
        <v>33</v>
      </c>
      <c r="H5" s="5" t="s">
        <v>34</v>
      </c>
      <c r="I5" s="2" t="s">
        <v>35</v>
      </c>
      <c r="J5" s="2" t="s">
        <v>31</v>
      </c>
    </row>
    <row r="6" spans="1:10">
      <c r="A6" s="3" t="s">
        <v>36</v>
      </c>
      <c r="B6" s="2" t="s">
        <v>37</v>
      </c>
      <c r="D6" s="2">
        <v>3</v>
      </c>
      <c r="E6" s="2">
        <v>3</v>
      </c>
      <c r="F6" s="2" t="s">
        <v>38</v>
      </c>
      <c r="H6" s="5" t="s">
        <v>39</v>
      </c>
      <c r="I6" s="2" t="s">
        <v>40</v>
      </c>
      <c r="J6" s="2" t="s">
        <v>31</v>
      </c>
    </row>
    <row r="7" spans="1:10">
      <c r="A7" s="3" t="s">
        <v>41</v>
      </c>
      <c r="B7" s="2" t="s">
        <v>41</v>
      </c>
      <c r="D7" s="2">
        <v>4</v>
      </c>
      <c r="E7" s="2">
        <v>4</v>
      </c>
      <c r="F7" s="2" t="s">
        <v>42</v>
      </c>
      <c r="H7" s="5" t="s">
        <v>43</v>
      </c>
      <c r="I7" s="2" t="s">
        <v>44</v>
      </c>
      <c r="J7" s="2" t="s">
        <v>31</v>
      </c>
    </row>
    <row r="8" spans="1:10">
      <c r="A8" s="3" t="s">
        <v>45</v>
      </c>
      <c r="B8" s="2">
        <v>40</v>
      </c>
      <c r="D8" s="2">
        <v>5</v>
      </c>
      <c r="E8" s="2">
        <v>5</v>
      </c>
      <c r="F8" s="2"/>
      <c r="H8" s="5" t="s">
        <v>46</v>
      </c>
      <c r="I8" s="2" t="s">
        <v>47</v>
      </c>
      <c r="J8" s="2" t="s">
        <v>31</v>
      </c>
    </row>
    <row r="9" spans="1:10" ht="15">
      <c r="A9" s="34" t="s">
        <v>48</v>
      </c>
      <c r="B9" s="35" t="s">
        <v>49</v>
      </c>
      <c r="D9" s="2">
        <v>6</v>
      </c>
      <c r="E9" s="2">
        <v>6</v>
      </c>
      <c r="F9" s="2"/>
      <c r="H9" s="5" t="s">
        <v>11</v>
      </c>
      <c r="I9" s="2" t="s">
        <v>50</v>
      </c>
      <c r="J9" s="2" t="s">
        <v>51</v>
      </c>
    </row>
    <row r="10" spans="1:10">
      <c r="D10" s="2">
        <v>7</v>
      </c>
      <c r="E10" s="2">
        <v>7</v>
      </c>
      <c r="F10" s="2"/>
      <c r="H10" s="5" t="s">
        <v>52</v>
      </c>
      <c r="I10" s="2" t="s">
        <v>53</v>
      </c>
      <c r="J10" s="2" t="s">
        <v>54</v>
      </c>
    </row>
    <row r="11" spans="1:10">
      <c r="D11" s="2">
        <v>8</v>
      </c>
      <c r="E11" s="2">
        <v>8</v>
      </c>
      <c r="F11" s="2"/>
    </row>
    <row r="12" spans="1:10">
      <c r="D12" s="2">
        <v>9</v>
      </c>
      <c r="E12" s="2">
        <v>9</v>
      </c>
      <c r="F12" s="2"/>
    </row>
    <row r="13" spans="1:10">
      <c r="D13" s="2">
        <v>10</v>
      </c>
      <c r="E13" s="2">
        <v>10</v>
      </c>
      <c r="F13" s="2"/>
    </row>
    <row r="14" spans="1:10">
      <c r="D14" s="2">
        <v>11</v>
      </c>
      <c r="E14" s="2"/>
      <c r="F14" s="2"/>
    </row>
    <row r="15" spans="1:10">
      <c r="D15" s="2">
        <v>12</v>
      </c>
      <c r="E15" s="2"/>
      <c r="F15" s="2"/>
    </row>
    <row r="16" spans="1:10" ht="29.25">
      <c r="A16" s="69" t="s">
        <v>55</v>
      </c>
      <c r="B16" s="75" t="s">
        <v>56</v>
      </c>
    </row>
    <row r="17" spans="1:10" ht="29.25">
      <c r="A17" s="71" t="s">
        <v>57</v>
      </c>
      <c r="B17" s="76" t="s">
        <v>58</v>
      </c>
    </row>
    <row r="18" spans="1:10">
      <c r="A18" s="101" t="s">
        <v>59</v>
      </c>
      <c r="B18" s="101"/>
      <c r="C18" s="101"/>
      <c r="D18" s="101"/>
      <c r="E18" s="101"/>
      <c r="F18" s="101"/>
      <c r="G18" s="101"/>
      <c r="H18" s="101"/>
      <c r="I18" s="101"/>
      <c r="J18" s="101"/>
    </row>
    <row r="19" spans="1:10">
      <c r="A19" s="101"/>
      <c r="B19" s="101"/>
      <c r="C19" s="101"/>
      <c r="D19" s="101"/>
      <c r="E19" s="101"/>
      <c r="F19" s="101"/>
      <c r="G19" s="101"/>
      <c r="H19" s="101"/>
      <c r="I19" s="101"/>
      <c r="J19" s="101"/>
    </row>
  </sheetData>
  <mergeCells count="3">
    <mergeCell ref="A1:J1"/>
    <mergeCell ref="H2:J2"/>
    <mergeCell ref="A18:J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rightToLeft="1" workbookViewId="0">
      <selection activeCell="C8" sqref="C8"/>
    </sheetView>
  </sheetViews>
  <sheetFormatPr defaultRowHeight="14.25"/>
  <cols>
    <col min="1" max="1" width="9" customWidth="1"/>
    <col min="2" max="2" width="34" customWidth="1"/>
    <col min="3" max="3" width="24" customWidth="1"/>
    <col min="4" max="4" width="30" customWidth="1"/>
    <col min="5" max="5" width="34" customWidth="1"/>
    <col min="6" max="6" width="4" customWidth="1"/>
  </cols>
  <sheetData>
    <row r="1" spans="1:6">
      <c r="A1" s="125" t="s">
        <v>60</v>
      </c>
      <c r="B1" s="125"/>
      <c r="C1" s="125"/>
      <c r="D1" s="125"/>
      <c r="E1" s="125"/>
      <c r="F1" s="125"/>
    </row>
    <row r="2" spans="1:6">
      <c r="A2" s="123"/>
      <c r="B2" s="123"/>
      <c r="C2" s="123"/>
      <c r="D2" s="123"/>
      <c r="E2" s="123"/>
      <c r="F2" s="123"/>
    </row>
    <row r="3" spans="1:6" ht="15">
      <c r="A3" s="53" t="s">
        <v>61</v>
      </c>
      <c r="B3" s="53" t="s">
        <v>62</v>
      </c>
      <c r="C3" s="53" t="s">
        <v>63</v>
      </c>
      <c r="D3" s="53" t="s">
        <v>64</v>
      </c>
      <c r="E3" s="53" t="s">
        <v>31</v>
      </c>
      <c r="F3" s="53"/>
    </row>
    <row r="4" spans="1:6" ht="15">
      <c r="A4" s="59">
        <v>1</v>
      </c>
      <c r="B4" s="54" t="s">
        <v>65</v>
      </c>
      <c r="C4" s="54" t="s">
        <v>66</v>
      </c>
      <c r="D4" s="54" t="s">
        <v>67</v>
      </c>
      <c r="E4" s="54" t="s">
        <v>68</v>
      </c>
      <c r="F4" s="55"/>
    </row>
    <row r="5" spans="1:6" ht="42" customHeight="1">
      <c r="A5" s="77">
        <v>2</v>
      </c>
      <c r="B5" s="6" t="s">
        <v>69</v>
      </c>
      <c r="C5" s="6" t="s">
        <v>70</v>
      </c>
      <c r="D5" s="6" t="s">
        <v>71</v>
      </c>
      <c r="E5" s="6" t="s">
        <v>72</v>
      </c>
      <c r="F5" s="56"/>
    </row>
    <row r="6" spans="1:6" ht="42" customHeight="1">
      <c r="A6" s="77">
        <v>3</v>
      </c>
      <c r="B6" s="6" t="s">
        <v>73</v>
      </c>
      <c r="C6" s="6" t="s">
        <v>74</v>
      </c>
      <c r="D6" s="6" t="s">
        <v>75</v>
      </c>
      <c r="E6" s="6" t="s">
        <v>76</v>
      </c>
      <c r="F6" s="56"/>
    </row>
    <row r="7" spans="1:6" ht="42" customHeight="1">
      <c r="A7" s="77">
        <v>4</v>
      </c>
      <c r="B7" s="6" t="s">
        <v>77</v>
      </c>
      <c r="C7" s="6" t="s">
        <v>78</v>
      </c>
      <c r="D7" s="6" t="s">
        <v>79</v>
      </c>
      <c r="E7" s="6" t="s">
        <v>80</v>
      </c>
      <c r="F7" s="56"/>
    </row>
    <row r="8" spans="1:6" ht="42" customHeight="1">
      <c r="A8" s="77">
        <v>5</v>
      </c>
      <c r="B8" s="6" t="s">
        <v>81</v>
      </c>
      <c r="C8" s="6" t="s">
        <v>82</v>
      </c>
      <c r="D8" s="6" t="s">
        <v>83</v>
      </c>
      <c r="E8" s="6" t="s">
        <v>84</v>
      </c>
      <c r="F8" s="56"/>
    </row>
    <row r="9" spans="1:6" ht="42" customHeight="1">
      <c r="A9" s="77">
        <v>6</v>
      </c>
      <c r="B9" s="6" t="s">
        <v>85</v>
      </c>
      <c r="C9" s="6" t="s">
        <v>86</v>
      </c>
      <c r="D9" s="6" t="s">
        <v>87</v>
      </c>
      <c r="E9" s="6" t="s">
        <v>88</v>
      </c>
      <c r="F9" s="56"/>
    </row>
    <row r="10" spans="1:6" ht="33.950000000000003" customHeight="1">
      <c r="A10" s="60" t="s">
        <v>89</v>
      </c>
      <c r="B10" s="57" t="s">
        <v>90</v>
      </c>
      <c r="C10" s="57" t="s">
        <v>91</v>
      </c>
      <c r="D10" s="57" t="s">
        <v>92</v>
      </c>
      <c r="E10" s="57" t="s">
        <v>93</v>
      </c>
      <c r="F10" s="58"/>
    </row>
    <row r="12" spans="1:6" ht="42" customHeight="1">
      <c r="A12" s="126"/>
      <c r="B12" s="126"/>
      <c r="C12" s="126"/>
      <c r="D12" s="126"/>
      <c r="E12" s="126"/>
      <c r="F12" s="126"/>
    </row>
  </sheetData>
  <mergeCells count="2">
    <mergeCell ref="A1:F2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rightToLeft="1" tabSelected="1" workbookViewId="0">
      <selection activeCell="F8" sqref="F8"/>
    </sheetView>
  </sheetViews>
  <sheetFormatPr defaultRowHeight="14.25"/>
  <cols>
    <col min="1" max="1" width="7" customWidth="1"/>
    <col min="2" max="2" width="10" customWidth="1"/>
    <col min="3" max="3" width="13" customWidth="1"/>
    <col min="4" max="5" width="8" customWidth="1"/>
    <col min="6" max="7" width="20" customWidth="1"/>
    <col min="8" max="8" width="42.625" customWidth="1"/>
    <col min="9" max="9" width="16.125" customWidth="1"/>
    <col min="10" max="10" width="24" customWidth="1"/>
  </cols>
  <sheetData>
    <row r="1" spans="1:10" ht="21.75">
      <c r="A1" s="127" t="s">
        <v>94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0" ht="15">
      <c r="A2" s="126" t="s">
        <v>95</v>
      </c>
      <c r="B2" s="126"/>
      <c r="C2" s="126"/>
      <c r="D2" s="126"/>
      <c r="E2" s="126"/>
      <c r="F2" s="126"/>
      <c r="G2" s="126"/>
      <c r="H2" s="126"/>
      <c r="I2" s="126"/>
      <c r="J2" s="126"/>
    </row>
    <row r="3" spans="1:10" ht="15">
      <c r="A3" s="7" t="s">
        <v>96</v>
      </c>
      <c r="B3" s="7" t="s">
        <v>97</v>
      </c>
      <c r="C3" s="7" t="s">
        <v>98</v>
      </c>
      <c r="D3" s="7" t="s">
        <v>99</v>
      </c>
      <c r="E3" s="7" t="s">
        <v>100</v>
      </c>
      <c r="F3" s="7" t="s">
        <v>101</v>
      </c>
      <c r="G3" s="7" t="s">
        <v>102</v>
      </c>
      <c r="H3" s="7" t="s">
        <v>103</v>
      </c>
      <c r="I3" s="7" t="s">
        <v>104</v>
      </c>
      <c r="J3" s="7" t="s">
        <v>105</v>
      </c>
    </row>
    <row r="4" spans="1:10" ht="15">
      <c r="A4" s="8">
        <v>1</v>
      </c>
      <c r="B4" s="9" t="s">
        <v>207</v>
      </c>
      <c r="C4" s="9" t="s">
        <v>33</v>
      </c>
      <c r="D4" s="9">
        <v>7</v>
      </c>
      <c r="E4" s="9">
        <v>1</v>
      </c>
      <c r="F4" s="9" t="s">
        <v>208</v>
      </c>
      <c r="G4" s="9" t="s">
        <v>209</v>
      </c>
      <c r="H4" s="19" t="str">
        <f>IF(B4&lt;&gt;"نعم","",C4&amp;" - الصف "&amp;D4&amp;" - شعبة "&amp;E4&amp;" - "&amp;IF(F4="",الإعدادات!B6,F4))</f>
        <v>إعدادية - الصف 7 - شعبة 1 - الحوسبة وتكنولوجيا المعلومات</v>
      </c>
      <c r="I4" s="19" t="str">
        <f>HYPERLINK("#'شعبة 01'!A1",IF(B4="نعم","فتح",""))</f>
        <v>فتح</v>
      </c>
      <c r="J4" s="10"/>
    </row>
    <row r="5" spans="1:10" ht="15">
      <c r="A5" s="11">
        <v>2</v>
      </c>
      <c r="B5" t="s">
        <v>207</v>
      </c>
      <c r="C5" t="s">
        <v>33</v>
      </c>
      <c r="D5">
        <v>7</v>
      </c>
      <c r="E5">
        <v>2</v>
      </c>
      <c r="F5" s="9" t="s">
        <v>208</v>
      </c>
      <c r="G5" s="9" t="s">
        <v>209</v>
      </c>
      <c r="H5" s="20" t="str">
        <f>IF(B5&lt;&gt;"نعم","",C5&amp;" - الصف "&amp;D5&amp;" - شعبة "&amp;E5&amp;" - "&amp;IF(F5="",الإعدادات!B6,F5))</f>
        <v>إعدادية - الصف 7 - شعبة 2 - الحوسبة وتكنولوجيا المعلومات</v>
      </c>
      <c r="I5" s="20" t="str">
        <f>HYPERLINK("#'شعبة 02'!A1",IF(B5="نعم","فتح",""))</f>
        <v>فتح</v>
      </c>
      <c r="J5" s="12"/>
    </row>
    <row r="6" spans="1:10" ht="15">
      <c r="A6" s="11">
        <v>3</v>
      </c>
      <c r="B6" t="s">
        <v>207</v>
      </c>
      <c r="C6" t="s">
        <v>33</v>
      </c>
      <c r="D6">
        <v>7</v>
      </c>
      <c r="E6">
        <v>3</v>
      </c>
      <c r="F6" s="9" t="s">
        <v>208</v>
      </c>
      <c r="G6" s="9" t="s">
        <v>209</v>
      </c>
      <c r="H6" s="20" t="str">
        <f>IF(B6&lt;&gt;"نعم","",C6&amp;" - الصف "&amp;D6&amp;" - شعبة "&amp;E6&amp;" - "&amp;IF(F6="",الإعدادات!B6,F6))</f>
        <v>إعدادية - الصف 7 - شعبة 3 - الحوسبة وتكنولوجيا المعلومات</v>
      </c>
      <c r="I6" s="20" t="str">
        <f>HYPERLINK("#'شعبة 03'!A1",IF(B6="نعم","فتح",""))</f>
        <v>فتح</v>
      </c>
      <c r="J6" s="12"/>
    </row>
    <row r="7" spans="1:10" ht="15">
      <c r="A7" s="11">
        <v>4</v>
      </c>
      <c r="B7" t="s">
        <v>207</v>
      </c>
      <c r="C7" t="s">
        <v>33</v>
      </c>
      <c r="D7">
        <v>7</v>
      </c>
      <c r="E7">
        <v>4</v>
      </c>
      <c r="F7" s="9" t="s">
        <v>208</v>
      </c>
      <c r="G7" s="9" t="s">
        <v>209</v>
      </c>
      <c r="H7" s="20" t="str">
        <f>IF(B7&lt;&gt;"نعم","",C7&amp;" - الصف "&amp;D7&amp;" - شعبة "&amp;E7&amp;" - "&amp;IF(F7="",الإعدادات!B6,F7))</f>
        <v>إعدادية - الصف 7 - شعبة 4 - الحوسبة وتكنولوجيا المعلومات</v>
      </c>
      <c r="I7" s="20" t="str">
        <f>HYPERLINK("#'شعبة 04'!A1",IF(B7="نعم","فتح",""))</f>
        <v>فتح</v>
      </c>
      <c r="J7" s="12"/>
    </row>
    <row r="8" spans="1:10" ht="15">
      <c r="A8" s="11">
        <v>5</v>
      </c>
      <c r="B8" t="s">
        <v>207</v>
      </c>
      <c r="C8" t="s">
        <v>33</v>
      </c>
      <c r="D8">
        <v>8</v>
      </c>
      <c r="E8">
        <v>1</v>
      </c>
      <c r="F8" s="9" t="s">
        <v>208</v>
      </c>
      <c r="G8" s="9" t="s">
        <v>209</v>
      </c>
      <c r="H8" s="20" t="str">
        <f>IF(B8&lt;&gt;"نعم","",C8&amp;" - الصف "&amp;D8&amp;" - شعبة "&amp;E8&amp;" - "&amp;IF(F8="",الإعدادات!B6,F8))</f>
        <v>إعدادية - الصف 8 - شعبة 1 - الحوسبة وتكنولوجيا المعلومات</v>
      </c>
      <c r="I8" s="20" t="str">
        <f>HYPERLINK("#'شعبة 05'!A1",IF(B8="نعم","فتح",""))</f>
        <v>فتح</v>
      </c>
      <c r="J8" s="12"/>
    </row>
    <row r="9" spans="1:10" ht="15">
      <c r="A9" s="11">
        <v>6</v>
      </c>
      <c r="B9" t="s">
        <v>207</v>
      </c>
      <c r="C9" t="s">
        <v>33</v>
      </c>
      <c r="D9">
        <v>8</v>
      </c>
      <c r="E9">
        <v>2</v>
      </c>
      <c r="F9" s="9" t="s">
        <v>208</v>
      </c>
      <c r="G9" s="9" t="s">
        <v>209</v>
      </c>
      <c r="H9" s="20" t="str">
        <f>IF(B9&lt;&gt;"نعم","",C9&amp;" - الصف "&amp;D9&amp;" - شعبة "&amp;E9&amp;" - "&amp;IF(F9="",الإعدادات!B6,F9))</f>
        <v>إعدادية - الصف 8 - شعبة 2 - الحوسبة وتكنولوجيا المعلومات</v>
      </c>
      <c r="I9" s="20" t="str">
        <f>HYPERLINK("#'شعبة 06'!A1",IF(B9="نعم","فتح",""))</f>
        <v>فتح</v>
      </c>
      <c r="J9" s="12"/>
    </row>
    <row r="10" spans="1:10" ht="15">
      <c r="A10" s="11">
        <v>7</v>
      </c>
      <c r="H10" s="20" t="str">
        <f>IF(B10&lt;&gt;"نعم","",C10&amp;" - الصف "&amp;D10&amp;" - شعبة "&amp;E10&amp;" - "&amp;IF(F10="",الإعدادات!B6,F10))</f>
        <v/>
      </c>
      <c r="I10" s="20" t="str">
        <f>HYPERLINK("#'شعبة 07'!A1",IF(B10="نعم","فتح",""))</f>
        <v/>
      </c>
      <c r="J10" s="12"/>
    </row>
    <row r="11" spans="1:10" ht="15">
      <c r="A11" s="11">
        <v>8</v>
      </c>
      <c r="H11" s="20" t="str">
        <f>IF(B11&lt;&gt;"نعم","",C11&amp;" - الصف "&amp;D11&amp;" - شعبة "&amp;E11&amp;" - "&amp;IF(F11="",الإعدادات!B6,F11))</f>
        <v/>
      </c>
      <c r="I11" s="20" t="str">
        <f>HYPERLINK("#'شعبة 08'!A1",IF(B11="نعم","فتح",""))</f>
        <v/>
      </c>
      <c r="J11" s="12"/>
    </row>
    <row r="12" spans="1:10" ht="15">
      <c r="A12" s="11">
        <v>9</v>
      </c>
      <c r="H12" s="20" t="str">
        <f>IF(B12&lt;&gt;"نعم","",C12&amp;" - الصف "&amp;D12&amp;" - شعبة "&amp;E12&amp;" - "&amp;IF(F12="",الإعدادات!B6,F12))</f>
        <v/>
      </c>
      <c r="I12" s="20" t="str">
        <f>HYPERLINK("#'شعبة 09'!A1",IF(B12="نعم","فتح",""))</f>
        <v/>
      </c>
      <c r="J12" s="12"/>
    </row>
    <row r="13" spans="1:10" ht="15">
      <c r="A13" s="11">
        <v>10</v>
      </c>
      <c r="H13" s="20" t="str">
        <f>IF(B13&lt;&gt;"نعم","",C13&amp;" - الصف "&amp;D13&amp;" - شعبة "&amp;E13&amp;" - "&amp;IF(F13="",الإعدادات!B6,F13))</f>
        <v/>
      </c>
      <c r="I13" s="20" t="str">
        <f>HYPERLINK("#'شعبة 10'!A1",IF(B13="نعم","فتح",""))</f>
        <v/>
      </c>
      <c r="J13" s="12"/>
    </row>
    <row r="14" spans="1:10" ht="15">
      <c r="A14" s="11">
        <v>11</v>
      </c>
      <c r="H14" s="20" t="str">
        <f>IF(B14&lt;&gt;"نعم","",C14&amp;" - الصف "&amp;D14&amp;" - شعبة "&amp;E14&amp;" - "&amp;IF(F14="",الإعدادات!B6,F14))</f>
        <v/>
      </c>
      <c r="I14" s="20" t="str">
        <f>HYPERLINK("#'شعبة 11'!A1",IF(B14="نعم","فتح",""))</f>
        <v/>
      </c>
      <c r="J14" s="12"/>
    </row>
    <row r="15" spans="1:10" ht="15">
      <c r="A15" s="11">
        <v>12</v>
      </c>
      <c r="H15" s="20" t="str">
        <f>IF(B15&lt;&gt;"نعم","",C15&amp;" - الصف "&amp;D15&amp;" - شعبة "&amp;E15&amp;" - "&amp;IF(F15="",الإعدادات!B6,F15))</f>
        <v/>
      </c>
      <c r="I15" s="20" t="str">
        <f>HYPERLINK("#'شعبة 12'!A1",IF(B15="نعم","فتح",""))</f>
        <v/>
      </c>
      <c r="J15" s="12"/>
    </row>
    <row r="16" spans="1:10" ht="15">
      <c r="A16" s="11">
        <v>13</v>
      </c>
      <c r="H16" s="20" t="str">
        <f>IF(B16&lt;&gt;"نعم","",C16&amp;" - الصف "&amp;D16&amp;" - شعبة "&amp;E16&amp;" - "&amp;IF(F16="",الإعدادات!B6,F16))</f>
        <v/>
      </c>
      <c r="I16" s="20" t="str">
        <f>HYPERLINK("#'شعبة 13'!A1",IF(B16="نعم","فتح",""))</f>
        <v/>
      </c>
      <c r="J16" s="12"/>
    </row>
    <row r="17" spans="1:10" ht="15">
      <c r="A17" s="11">
        <v>14</v>
      </c>
      <c r="H17" s="20" t="str">
        <f>IF(B17&lt;&gt;"نعم","",C17&amp;" - الصف "&amp;D17&amp;" - شعبة "&amp;E17&amp;" - "&amp;IF(F17="",الإعدادات!B6,F17))</f>
        <v/>
      </c>
      <c r="I17" s="20" t="str">
        <f>HYPERLINK("#'شعبة 14'!A1",IF(B17="نعم","فتح",""))</f>
        <v/>
      </c>
      <c r="J17" s="12"/>
    </row>
    <row r="18" spans="1:10" ht="15">
      <c r="A18" s="11">
        <v>15</v>
      </c>
      <c r="H18" s="20" t="str">
        <f>IF(B18&lt;&gt;"نعم","",C18&amp;" - الصف "&amp;D18&amp;" - شعبة "&amp;E18&amp;" - "&amp;IF(F18="",الإعدادات!B6,F18))</f>
        <v/>
      </c>
      <c r="I18" s="20" t="str">
        <f>HYPERLINK("#'شعبة 15'!A1",IF(B18="نعم","فتح",""))</f>
        <v/>
      </c>
      <c r="J18" s="12"/>
    </row>
    <row r="19" spans="1:10" ht="15">
      <c r="A19" s="11">
        <v>16</v>
      </c>
      <c r="H19" s="20" t="str">
        <f>IF(B19&lt;&gt;"نعم","",C19&amp;" - الصف "&amp;D19&amp;" - شعبة "&amp;E19&amp;" - "&amp;IF(F19="",الإعدادات!B6,F19))</f>
        <v/>
      </c>
      <c r="I19" s="20" t="str">
        <f>HYPERLINK("#'شعبة 16'!A1",IF(B19="نعم","فتح",""))</f>
        <v/>
      </c>
      <c r="J19" s="12"/>
    </row>
    <row r="20" spans="1:10" ht="15">
      <c r="A20" s="11">
        <v>17</v>
      </c>
      <c r="H20" s="20" t="str">
        <f>IF(B20&lt;&gt;"نعم","",C20&amp;" - الصف "&amp;D20&amp;" - شعبة "&amp;E20&amp;" - "&amp;IF(F20="",الإعدادات!B6,F20))</f>
        <v/>
      </c>
      <c r="I20" s="20" t="str">
        <f>HYPERLINK("#'شعبة 17'!A1",IF(B20="نعم","فتح",""))</f>
        <v/>
      </c>
      <c r="J20" s="12"/>
    </row>
    <row r="21" spans="1:10" ht="15">
      <c r="A21" s="11">
        <v>18</v>
      </c>
      <c r="H21" s="20" t="str">
        <f>IF(B21&lt;&gt;"نعم","",C21&amp;" - الصف "&amp;D21&amp;" - شعبة "&amp;E21&amp;" - "&amp;IF(F21="",الإعدادات!B6,F21))</f>
        <v/>
      </c>
      <c r="I21" s="20" t="str">
        <f>HYPERLINK("#'شعبة 18'!A1",IF(B21="نعم","فتح",""))</f>
        <v/>
      </c>
      <c r="J21" s="12"/>
    </row>
    <row r="22" spans="1:10" ht="15">
      <c r="A22" s="11">
        <v>19</v>
      </c>
      <c r="H22" s="20" t="str">
        <f>IF(B22&lt;&gt;"نعم","",C22&amp;" - الصف "&amp;D22&amp;" - شعبة "&amp;E22&amp;" - "&amp;IF(F22="",الإعدادات!B6,F22))</f>
        <v/>
      </c>
      <c r="I22" s="20" t="str">
        <f>HYPERLINK("#'شعبة 19'!A1",IF(B22="نعم","فتح",""))</f>
        <v/>
      </c>
      <c r="J22" s="12"/>
    </row>
    <row r="23" spans="1:10" ht="15">
      <c r="A23" s="13">
        <v>20</v>
      </c>
      <c r="B23" s="14"/>
      <c r="C23" s="14"/>
      <c r="D23" s="14"/>
      <c r="E23" s="14"/>
      <c r="F23" s="14"/>
      <c r="G23" s="14"/>
      <c r="H23" s="21" t="str">
        <f>IF(B23&lt;&gt;"نعم","",C23&amp;" - الصف "&amp;D23&amp;" - شعبة "&amp;E23&amp;" - "&amp;IF(F23="",الإعدادات!B6,F23))</f>
        <v/>
      </c>
      <c r="I23" s="21" t="str">
        <f>HYPERLINK("#'شعبة 20'!A1",IF(B23="نعم","فتح",""))</f>
        <v/>
      </c>
      <c r="J23" s="15"/>
    </row>
  </sheetData>
  <mergeCells count="2">
    <mergeCell ref="A1:J1"/>
    <mergeCell ref="A2:J2"/>
  </mergeCells>
  <dataValidations count="1">
    <dataValidation type="list" allowBlank="1" sqref="B4:B23" xr:uid="{00000000-0002-0000-0300-000000000000}">
      <formula1>"نعم,لا"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1000000}">
          <x14:formula1>
            <xm:f>الإعدادات!$F$4:$F$7</xm:f>
          </x14:formula1>
          <xm:sqref>C4:C23</xm:sqref>
        </x14:dataValidation>
        <x14:dataValidation type="list" allowBlank="1" xr:uid="{00000000-0002-0000-0300-000002000000}">
          <x14:formula1>
            <xm:f>الإعدادات!$D$4:$D$15</xm:f>
          </x14:formula1>
          <xm:sqref>D4:D23</xm:sqref>
        </x14:dataValidation>
        <x14:dataValidation type="list" allowBlank="1" xr:uid="{00000000-0002-0000-0300-000003000000}">
          <x14:formula1>
            <xm:f>الإعدادات!$E$4:$E$13</xm:f>
          </x14:formula1>
          <xm:sqref>E4:E23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"/>
  <sheetViews>
    <sheetView rightToLeft="1" workbookViewId="0">
      <selection activeCell="B16" sqref="B16"/>
    </sheetView>
  </sheetViews>
  <sheetFormatPr defaultRowHeight="14.25"/>
  <cols>
    <col min="1" max="1" width="7" customWidth="1"/>
    <col min="2" max="2" width="34" customWidth="1"/>
    <col min="3" max="3" width="12" customWidth="1"/>
    <col min="4" max="5" width="8" customWidth="1"/>
    <col min="6" max="6" width="24.25" customWidth="1"/>
    <col min="7" max="7" width="18" customWidth="1"/>
    <col min="8" max="8" width="10" customWidth="1"/>
    <col min="9" max="9" width="12" customWidth="1"/>
    <col min="10" max="11" width="10" customWidth="1"/>
    <col min="12" max="12" width="14" customWidth="1"/>
    <col min="13" max="13" width="10" customWidth="1"/>
    <col min="14" max="14" width="12" customWidth="1"/>
    <col min="16" max="16" width="20" customWidth="1"/>
    <col min="17" max="17" width="12" customWidth="1"/>
  </cols>
  <sheetData>
    <row r="1" spans="1:17" ht="23.25">
      <c r="A1" s="128" t="s">
        <v>106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7" ht="25.5">
      <c r="A2" s="22" t="s">
        <v>66</v>
      </c>
      <c r="B2" s="22" t="s">
        <v>70</v>
      </c>
      <c r="C2" s="22" t="s">
        <v>107</v>
      </c>
      <c r="D2" s="22" t="s">
        <v>5</v>
      </c>
      <c r="P2" s="7" t="s">
        <v>108</v>
      </c>
      <c r="Q2" s="7" t="s">
        <v>109</v>
      </c>
    </row>
    <row r="3" spans="1:17" ht="15">
      <c r="A3" s="23" t="str">
        <f>HYPERLINK("#'الإعدادات'!A1","الإعدادات")</f>
        <v>الإعدادات</v>
      </c>
      <c r="B3" s="23" t="str">
        <f>HYPERLINK("#'إعداد الشعب'!A1","إعداد الشعب")</f>
        <v>إعداد الشعب</v>
      </c>
      <c r="C3" s="23" t="str">
        <f>HYPERLINK("#'لوحة التحكم'!A1","العودة للرئيسية")</f>
        <v>العودة للرئيسية</v>
      </c>
      <c r="D3" s="23" t="str">
        <f>الإعدادات!B4</f>
        <v>2026-2027</v>
      </c>
      <c r="P3" s="8" t="s">
        <v>110</v>
      </c>
      <c r="Q3" s="10">
        <f>SUM(I11:I30)</f>
        <v>9</v>
      </c>
    </row>
    <row r="4" spans="1:17">
      <c r="P4" s="11" t="s">
        <v>9</v>
      </c>
      <c r="Q4" s="12">
        <f>SUM(J11:J30)</f>
        <v>0</v>
      </c>
    </row>
    <row r="5" spans="1:17">
      <c r="A5" s="88" t="s">
        <v>6</v>
      </c>
      <c r="B5" s="89"/>
      <c r="C5" s="88" t="s">
        <v>7</v>
      </c>
      <c r="D5" s="89"/>
      <c r="E5" s="88" t="s">
        <v>8</v>
      </c>
      <c r="F5" s="89"/>
      <c r="G5" s="88" t="s">
        <v>9</v>
      </c>
      <c r="H5" s="89"/>
      <c r="I5" s="88" t="s">
        <v>10</v>
      </c>
      <c r="J5" s="89"/>
      <c r="P5" s="11" t="s">
        <v>10</v>
      </c>
      <c r="Q5" s="12">
        <f>SUM(K11:K30)</f>
        <v>0</v>
      </c>
    </row>
    <row r="6" spans="1:17">
      <c r="A6" s="130">
        <f>COUNTIF('إعداد الشعب'!B4:B23,"نعم")</f>
        <v>6</v>
      </c>
      <c r="B6" s="89"/>
      <c r="C6" s="130">
        <f>SUM(H11:H30)</f>
        <v>0</v>
      </c>
      <c r="D6" s="89"/>
      <c r="E6" s="130">
        <f>SUM(I11:I30)</f>
        <v>9</v>
      </c>
      <c r="F6" s="89"/>
      <c r="G6" s="130">
        <f>SUM(J11:J30)</f>
        <v>0</v>
      </c>
      <c r="H6" s="89"/>
      <c r="I6" s="130">
        <f>SUM(K11:K30)</f>
        <v>0</v>
      </c>
      <c r="J6" s="89"/>
      <c r="P6" s="11" t="s">
        <v>11</v>
      </c>
      <c r="Q6" s="12">
        <f>SUM(L11:L30)</f>
        <v>0</v>
      </c>
    </row>
    <row r="7" spans="1:17">
      <c r="A7" s="89"/>
      <c r="B7" s="89"/>
      <c r="C7" s="89"/>
      <c r="D7" s="89"/>
      <c r="E7" s="89"/>
      <c r="F7" s="89"/>
      <c r="G7" s="89"/>
      <c r="H7" s="89"/>
      <c r="I7" s="89"/>
      <c r="J7" s="89"/>
      <c r="P7" s="13" t="s">
        <v>52</v>
      </c>
      <c r="Q7" s="15">
        <f>SUM(M11:M30)</f>
        <v>5</v>
      </c>
    </row>
    <row r="8" spans="1:17" ht="15">
      <c r="A8" s="129" t="s">
        <v>111</v>
      </c>
      <c r="B8" s="129"/>
      <c r="C8" s="129"/>
      <c r="D8" s="129"/>
      <c r="E8" s="129"/>
      <c r="F8" s="129"/>
      <c r="G8" s="129"/>
      <c r="H8" s="129"/>
      <c r="I8" s="129"/>
      <c r="J8" s="129"/>
    </row>
    <row r="10" spans="1:17" ht="15">
      <c r="A10" s="7" t="s">
        <v>96</v>
      </c>
      <c r="B10" s="7" t="s">
        <v>112</v>
      </c>
      <c r="C10" s="7" t="s">
        <v>98</v>
      </c>
      <c r="D10" s="7" t="s">
        <v>99</v>
      </c>
      <c r="E10" s="7" t="s">
        <v>100</v>
      </c>
      <c r="F10" s="7" t="s">
        <v>101</v>
      </c>
      <c r="G10" s="7" t="s">
        <v>102</v>
      </c>
      <c r="H10" s="7" t="s">
        <v>113</v>
      </c>
      <c r="I10" s="7" t="s">
        <v>8</v>
      </c>
      <c r="J10" s="7" t="s">
        <v>9</v>
      </c>
      <c r="K10" s="7" t="s">
        <v>10</v>
      </c>
      <c r="L10" s="7" t="s">
        <v>11</v>
      </c>
      <c r="M10" s="7" t="s">
        <v>114</v>
      </c>
      <c r="N10" s="7" t="s">
        <v>115</v>
      </c>
    </row>
    <row r="11" spans="1:17" ht="15">
      <c r="A11" s="8">
        <f>1</f>
        <v>1</v>
      </c>
      <c r="B11" s="19" t="str">
        <f>IF('إعداد الشعب'!B4&lt;&gt;"نعم","",'إعداد الشعب'!H4)</f>
        <v>إعدادية - الصف 7 - شعبة 1 - الحوسبة وتكنولوجيا المعلومات</v>
      </c>
      <c r="C11" s="9" t="str">
        <f>IF('إعداد الشعب'!B4&lt;&gt;"نعم","",'إعداد الشعب'!C4)</f>
        <v>إعدادية</v>
      </c>
      <c r="D11" s="9">
        <f>IF('إعداد الشعب'!B4&lt;&gt;"نعم","",'إعداد الشعب'!D4)</f>
        <v>7</v>
      </c>
      <c r="E11" s="9">
        <f>IF('إعداد الشعب'!B4&lt;&gt;"نعم","",'إعداد الشعب'!E4)</f>
        <v>1</v>
      </c>
      <c r="F11" s="9" t="str">
        <f>IF('إعداد الشعب'!B4&lt;&gt;"نعم","",IF('إعداد الشعب'!F4="",الإعدادات!B6,'إعداد الشعب'!F4))</f>
        <v>الحوسبة وتكنولوجيا المعلومات</v>
      </c>
      <c r="G11" s="9" t="str">
        <f>IF('إعداد الشعب'!B4&lt;&gt;"نعم","",IF('إعداد الشعب'!G4="",الإعدادات!B7,'إعداد الشعب'!G4))</f>
        <v>جمال صالح</v>
      </c>
      <c r="H11" s="9">
        <f>IF('إعداد الشعب'!B4&lt;&gt;"نعم","",'شعبة 01'!A5)</f>
        <v>0</v>
      </c>
      <c r="I11" s="9">
        <f>IF('إعداد الشعب'!B4&lt;&gt;"نعم","",'شعبة 01'!C5)</f>
        <v>0</v>
      </c>
      <c r="J11" s="9">
        <f>IF('إعداد الشعب'!B4&lt;&gt;"نعم","",'شعبة 01'!E5)</f>
        <v>0</v>
      </c>
      <c r="K11" s="9">
        <f>IF('إعداد الشعب'!B4&lt;&gt;"نعم","",'شعبة 01'!G5)</f>
        <v>0</v>
      </c>
      <c r="L11" s="9">
        <f>IF('إعداد الشعب'!B4&lt;&gt;"نعم","",'شعبة 01'!I5)</f>
        <v>0</v>
      </c>
      <c r="M11" s="9">
        <f>IF('إعداد الشعب'!B4&lt;&gt;"نعم","",'شعبة 01'!K5)</f>
        <v>0</v>
      </c>
      <c r="N11" s="10" t="str">
        <f>IF('إعداد الشعب'!B4&lt;&gt;"نعم","",HYPERLINK("#'شعبة 01'!A1","فتح"))</f>
        <v>فتح</v>
      </c>
    </row>
    <row r="12" spans="1:17" ht="15">
      <c r="A12" s="11">
        <f>2</f>
        <v>2</v>
      </c>
      <c r="B12" s="20" t="str">
        <f>IF('إعداد الشعب'!B5&lt;&gt;"نعم","",'إعداد الشعب'!H5)</f>
        <v>إعدادية - الصف 7 - شعبة 2 - الحوسبة وتكنولوجيا المعلومات</v>
      </c>
      <c r="C12" t="str">
        <f>IF('إعداد الشعب'!B5&lt;&gt;"نعم","",'إعداد الشعب'!C5)</f>
        <v>إعدادية</v>
      </c>
      <c r="D12">
        <f>IF('إعداد الشعب'!B5&lt;&gt;"نعم","",'إعداد الشعب'!D5)</f>
        <v>7</v>
      </c>
      <c r="E12">
        <f>IF('إعداد الشعب'!B5&lt;&gt;"نعم","",'إعداد الشعب'!E5)</f>
        <v>2</v>
      </c>
      <c r="F12" t="str">
        <f>IF('إعداد الشعب'!B5&lt;&gt;"نعم","",IF('إعداد الشعب'!F5="",الإعدادات!B6,'إعداد الشعب'!F5))</f>
        <v>الحوسبة وتكنولوجيا المعلومات</v>
      </c>
      <c r="G12" t="str">
        <f>IF('إعداد الشعب'!B5&lt;&gt;"نعم","",IF('إعداد الشعب'!G5="",الإعدادات!B7,'إعداد الشعب'!G5))</f>
        <v>جمال صالح</v>
      </c>
      <c r="H12">
        <f>IF('إعداد الشعب'!B5&lt;&gt;"نعم","",'شعبة 02'!A5)</f>
        <v>0</v>
      </c>
      <c r="I12">
        <f>IF('إعداد الشعب'!B5&lt;&gt;"نعم","",'شعبة 02'!C5)</f>
        <v>0</v>
      </c>
      <c r="J12">
        <f>IF('إعداد الشعب'!B5&lt;&gt;"نعم","",'شعبة 02'!E5)</f>
        <v>0</v>
      </c>
      <c r="K12">
        <f>IF('إعداد الشعب'!B5&lt;&gt;"نعم","",'شعبة 02'!G5)</f>
        <v>0</v>
      </c>
      <c r="L12">
        <f>IF('إعداد الشعب'!B5&lt;&gt;"نعم","",'شعبة 02'!I5)</f>
        <v>0</v>
      </c>
      <c r="M12">
        <f>IF('إعداد الشعب'!B5&lt;&gt;"نعم","",'شعبة 02'!K5)</f>
        <v>0</v>
      </c>
      <c r="N12" s="12" t="str">
        <f>IF('إعداد الشعب'!B5&lt;&gt;"نعم","",HYPERLINK("#'شعبة 02'!A1","فتح"))</f>
        <v>فتح</v>
      </c>
    </row>
    <row r="13" spans="1:17" ht="15">
      <c r="A13" s="11">
        <f>3</f>
        <v>3</v>
      </c>
      <c r="B13" s="20" t="str">
        <f>IF('إعداد الشعب'!B6&lt;&gt;"نعم","",'إعداد الشعب'!H6)</f>
        <v>إعدادية - الصف 7 - شعبة 3 - الحوسبة وتكنولوجيا المعلومات</v>
      </c>
      <c r="C13" t="str">
        <f>IF('إعداد الشعب'!B6&lt;&gt;"نعم","",'إعداد الشعب'!C6)</f>
        <v>إعدادية</v>
      </c>
      <c r="D13">
        <f>IF('إعداد الشعب'!B6&lt;&gt;"نعم","",'إعداد الشعب'!D6)</f>
        <v>7</v>
      </c>
      <c r="E13">
        <f>IF('إعداد الشعب'!B6&lt;&gt;"نعم","",'إعداد الشعب'!E6)</f>
        <v>3</v>
      </c>
      <c r="F13" t="str">
        <f>IF('إعداد الشعب'!B6&lt;&gt;"نعم","",IF('إعداد الشعب'!F6="",الإعدادات!B6,'إعداد الشعب'!F6))</f>
        <v>الحوسبة وتكنولوجيا المعلومات</v>
      </c>
      <c r="G13" t="str">
        <f>IF('إعداد الشعب'!B6&lt;&gt;"نعم","",IF('إعداد الشعب'!G6="",الإعدادات!B7,'إعداد الشعب'!G6))</f>
        <v>جمال صالح</v>
      </c>
      <c r="H13">
        <f>IF('إعداد الشعب'!B6&lt;&gt;"نعم","",'شعبة 03'!A5)</f>
        <v>0</v>
      </c>
      <c r="I13">
        <f>IF('إعداد الشعب'!B6&lt;&gt;"نعم","",'شعبة 03'!C5)</f>
        <v>0</v>
      </c>
      <c r="J13">
        <f>IF('إعداد الشعب'!B6&lt;&gt;"نعم","",'شعبة 03'!E5)</f>
        <v>0</v>
      </c>
      <c r="K13">
        <f>IF('إعداد الشعب'!B6&lt;&gt;"نعم","",'شعبة 03'!G5)</f>
        <v>0</v>
      </c>
      <c r="L13">
        <f>IF('إعداد الشعب'!B6&lt;&gt;"نعم","",'شعبة 03'!I5)</f>
        <v>0</v>
      </c>
      <c r="M13">
        <f>IF('إعداد الشعب'!B6&lt;&gt;"نعم","",'شعبة 03'!K5)</f>
        <v>0</v>
      </c>
      <c r="N13" s="12" t="str">
        <f>IF('إعداد الشعب'!B6&lt;&gt;"نعم","",HYPERLINK("#'شعبة 03'!A1","فتح"))</f>
        <v>فتح</v>
      </c>
    </row>
    <row r="14" spans="1:17" ht="15">
      <c r="A14" s="11">
        <f>4</f>
        <v>4</v>
      </c>
      <c r="B14" s="20" t="str">
        <f>IF('إعداد الشعب'!B7&lt;&gt;"نعم","",'إعداد الشعب'!H7)</f>
        <v>إعدادية - الصف 7 - شعبة 4 - الحوسبة وتكنولوجيا المعلومات</v>
      </c>
      <c r="C14" t="str">
        <f>IF('إعداد الشعب'!B7&lt;&gt;"نعم","",'إعداد الشعب'!C7)</f>
        <v>إعدادية</v>
      </c>
      <c r="D14">
        <f>IF('إعداد الشعب'!B7&lt;&gt;"نعم","",'إعداد الشعب'!D7)</f>
        <v>7</v>
      </c>
      <c r="E14">
        <f>IF('إعداد الشعب'!B7&lt;&gt;"نعم","",'إعداد الشعب'!E7)</f>
        <v>4</v>
      </c>
      <c r="F14" t="str">
        <f>IF('إعداد الشعب'!B7&lt;&gt;"نعم","",IF('إعداد الشعب'!F7="",الإعدادات!B6,'إعداد الشعب'!F7))</f>
        <v>الحوسبة وتكنولوجيا المعلومات</v>
      </c>
      <c r="G14" t="str">
        <f>IF('إعداد الشعب'!B7&lt;&gt;"نعم","",IF('إعداد الشعب'!G7="",الإعدادات!B7,'إعداد الشعب'!G7))</f>
        <v>جمال صالح</v>
      </c>
      <c r="H14">
        <f>IF('إعداد الشعب'!B7&lt;&gt;"نعم","",'شعبة 04'!A5)</f>
        <v>0</v>
      </c>
      <c r="I14">
        <f>IF('إعداد الشعب'!B7&lt;&gt;"نعم","",'شعبة 04'!C5)</f>
        <v>0</v>
      </c>
      <c r="J14">
        <f>IF('إعداد الشعب'!B7&lt;&gt;"نعم","",'شعبة 04'!E5)</f>
        <v>0</v>
      </c>
      <c r="K14">
        <f>IF('إعداد الشعب'!B7&lt;&gt;"نعم","",'شعبة 04'!G5)</f>
        <v>0</v>
      </c>
      <c r="L14">
        <f>IF('إعداد الشعب'!B7&lt;&gt;"نعم","",'شعبة 04'!I5)</f>
        <v>0</v>
      </c>
      <c r="M14">
        <f>IF('إعداد الشعب'!B7&lt;&gt;"نعم","",'شعبة 04'!K5)</f>
        <v>0</v>
      </c>
      <c r="N14" s="12" t="str">
        <f>IF('إعداد الشعب'!B7&lt;&gt;"نعم","",HYPERLINK("#'شعبة 04'!A1","فتح"))</f>
        <v>فتح</v>
      </c>
    </row>
    <row r="15" spans="1:17" ht="15">
      <c r="A15" s="11">
        <f>5</f>
        <v>5</v>
      </c>
      <c r="B15" s="20" t="str">
        <f>IF('إعداد الشعب'!B8&lt;&gt;"نعم","",'إعداد الشعب'!H8)</f>
        <v>إعدادية - الصف 8 - شعبة 1 - الحوسبة وتكنولوجيا المعلومات</v>
      </c>
      <c r="C15" t="str">
        <f>IF('إعداد الشعب'!B8&lt;&gt;"نعم","",'إعداد الشعب'!C8)</f>
        <v>إعدادية</v>
      </c>
      <c r="D15">
        <f>IF('إعداد الشعب'!B8&lt;&gt;"نعم","",'إعداد الشعب'!D8)</f>
        <v>8</v>
      </c>
      <c r="E15">
        <f>IF('إعداد الشعب'!B8&lt;&gt;"نعم","",'إعداد الشعب'!E8)</f>
        <v>1</v>
      </c>
      <c r="F15" t="str">
        <f>IF('إعداد الشعب'!B8&lt;&gt;"نعم","",IF('إعداد الشعب'!F8="",الإعدادات!B6,'إعداد الشعب'!F8))</f>
        <v>الحوسبة وتكنولوجيا المعلومات</v>
      </c>
      <c r="G15" t="str">
        <f>IF('إعداد الشعب'!B8&lt;&gt;"نعم","",IF('إعداد الشعب'!G8="",الإعدادات!B7,'إعداد الشعب'!G8))</f>
        <v>جمال صالح</v>
      </c>
      <c r="H15">
        <f>IF('إعداد الشعب'!B8&lt;&gt;"نعم","",'شعبة 05'!A5)</f>
        <v>0</v>
      </c>
      <c r="I15">
        <f>IF('إعداد الشعب'!B8&lt;&gt;"نعم","",'شعبة 05'!C5)</f>
        <v>0</v>
      </c>
      <c r="J15">
        <f>IF('إعداد الشعب'!B8&lt;&gt;"نعم","",'شعبة 05'!E5)</f>
        <v>0</v>
      </c>
      <c r="K15">
        <f>IF('إعداد الشعب'!B8&lt;&gt;"نعم","",'شعبة 05'!G5)</f>
        <v>0</v>
      </c>
      <c r="L15">
        <f>IF('إعداد الشعب'!B8&lt;&gt;"نعم","",'شعبة 05'!I5)</f>
        <v>0</v>
      </c>
      <c r="M15">
        <f>IF('إعداد الشعب'!B8&lt;&gt;"نعم","",'شعبة 05'!K5)</f>
        <v>0</v>
      </c>
      <c r="N15" s="12" t="str">
        <f>IF('إعداد الشعب'!B8&lt;&gt;"نعم","",HYPERLINK("#'شعبة 05'!A1","فتح"))</f>
        <v>فتح</v>
      </c>
    </row>
    <row r="16" spans="1:17" ht="15">
      <c r="A16" s="11">
        <f>6</f>
        <v>6</v>
      </c>
      <c r="B16" s="20" t="str">
        <f>IF('إعداد الشعب'!B9&lt;&gt;"نعم","",'إعداد الشعب'!H9)</f>
        <v>إعدادية - الصف 8 - شعبة 2 - الحوسبة وتكنولوجيا المعلومات</v>
      </c>
      <c r="C16" t="str">
        <f>IF('إعداد الشعب'!B9&lt;&gt;"نعم","",'إعداد الشعب'!C9)</f>
        <v>إعدادية</v>
      </c>
      <c r="D16">
        <f>IF('إعداد الشعب'!B9&lt;&gt;"نعم","",'إعداد الشعب'!D9)</f>
        <v>8</v>
      </c>
      <c r="E16">
        <f>IF('إعداد الشعب'!B9&lt;&gt;"نعم","",'إعداد الشعب'!E9)</f>
        <v>2</v>
      </c>
      <c r="F16" t="str">
        <f>IF('إعداد الشعب'!B9&lt;&gt;"نعم","",IF('إعداد الشعب'!F9="",الإعدادات!B6,'إعداد الشعب'!F9))</f>
        <v>الحوسبة وتكنولوجيا المعلومات</v>
      </c>
      <c r="G16" t="str">
        <f>IF('إعداد الشعب'!B9&lt;&gt;"نعم","",IF('إعداد الشعب'!G9="",الإعدادات!B7,'إعداد الشعب'!G9))</f>
        <v>جمال صالح</v>
      </c>
      <c r="H16">
        <f>IF('إعداد الشعب'!B9&lt;&gt;"نعم","",'شعبة 06'!A5)</f>
        <v>0</v>
      </c>
      <c r="I16">
        <f>IF('إعداد الشعب'!B9&lt;&gt;"نعم","",'شعبة 06'!C5)</f>
        <v>9</v>
      </c>
      <c r="J16">
        <f>IF('إعداد الشعب'!B9&lt;&gt;"نعم","",'شعبة 06'!E5)</f>
        <v>0</v>
      </c>
      <c r="K16">
        <f>IF('إعداد الشعب'!B9&lt;&gt;"نعم","",'شعبة 06'!G5)</f>
        <v>0</v>
      </c>
      <c r="L16">
        <f>IF('إعداد الشعب'!B9&lt;&gt;"نعم","",'شعبة 06'!I5)</f>
        <v>0</v>
      </c>
      <c r="M16">
        <f>IF('إعداد الشعب'!B9&lt;&gt;"نعم","",'شعبة 06'!K5)</f>
        <v>5</v>
      </c>
      <c r="N16" s="12" t="str">
        <f>IF('إعداد الشعب'!B9&lt;&gt;"نعم","",HYPERLINK("#'شعبة 06'!A1","فتح"))</f>
        <v>فتح</v>
      </c>
    </row>
    <row r="17" spans="1:14" ht="15">
      <c r="A17" s="11">
        <f>7</f>
        <v>7</v>
      </c>
      <c r="B17" s="20" t="str">
        <f>IF('إعداد الشعب'!B10&lt;&gt;"نعم","",'إعداد الشعب'!H10)</f>
        <v/>
      </c>
      <c r="C17" t="str">
        <f>IF('إعداد الشعب'!B10&lt;&gt;"نعم","",'إعداد الشعب'!C10)</f>
        <v/>
      </c>
      <c r="D17" t="str">
        <f>IF('إعداد الشعب'!B10&lt;&gt;"نعم","",'إعداد الشعب'!D10)</f>
        <v/>
      </c>
      <c r="E17" t="str">
        <f>IF('إعداد الشعب'!B10&lt;&gt;"نعم","",'إعداد الشعب'!E10)</f>
        <v/>
      </c>
      <c r="F17" t="str">
        <f>IF('إعداد الشعب'!B10&lt;&gt;"نعم","",IF('إعداد الشعب'!F10="",الإعدادات!B6,'إعداد الشعب'!F10))</f>
        <v/>
      </c>
      <c r="G17" t="str">
        <f>IF('إعداد الشعب'!B10&lt;&gt;"نعم","",IF('إعداد الشعب'!G10="",الإعدادات!B7,'إعداد الشعب'!G10))</f>
        <v/>
      </c>
      <c r="H17" t="str">
        <f>IF('إعداد الشعب'!B10&lt;&gt;"نعم","",'شعبة 07'!A5)</f>
        <v/>
      </c>
      <c r="I17" t="str">
        <f>IF('إعداد الشعب'!B10&lt;&gt;"نعم","",'شعبة 07'!C5)</f>
        <v/>
      </c>
      <c r="J17" t="str">
        <f>IF('إعداد الشعب'!B10&lt;&gt;"نعم","",'شعبة 07'!E5)</f>
        <v/>
      </c>
      <c r="K17" t="str">
        <f>IF('إعداد الشعب'!B10&lt;&gt;"نعم","",'شعبة 07'!G5)</f>
        <v/>
      </c>
      <c r="L17" t="str">
        <f>IF('إعداد الشعب'!B10&lt;&gt;"نعم","",'شعبة 07'!I5)</f>
        <v/>
      </c>
      <c r="M17" t="str">
        <f>IF('إعداد الشعب'!B10&lt;&gt;"نعم","",'شعبة 07'!K5)</f>
        <v/>
      </c>
      <c r="N17" s="12" t="str">
        <f>IF('إعداد الشعب'!B10&lt;&gt;"نعم","",HYPERLINK("#'شعبة 07'!A1","فتح"))</f>
        <v/>
      </c>
    </row>
    <row r="18" spans="1:14" ht="15">
      <c r="A18" s="11">
        <f>8</f>
        <v>8</v>
      </c>
      <c r="B18" s="20" t="str">
        <f>IF('إعداد الشعب'!B11&lt;&gt;"نعم","",'إعداد الشعب'!H11)</f>
        <v/>
      </c>
      <c r="C18" t="str">
        <f>IF('إعداد الشعب'!B11&lt;&gt;"نعم","",'إعداد الشعب'!C11)</f>
        <v/>
      </c>
      <c r="D18" t="str">
        <f>IF('إعداد الشعب'!B11&lt;&gt;"نعم","",'إعداد الشعب'!D11)</f>
        <v/>
      </c>
      <c r="E18" t="str">
        <f>IF('إعداد الشعب'!B11&lt;&gt;"نعم","",'إعداد الشعب'!E11)</f>
        <v/>
      </c>
      <c r="F18" t="str">
        <f>IF('إعداد الشعب'!B11&lt;&gt;"نعم","",IF('إعداد الشعب'!F11="",الإعدادات!B6,'إعداد الشعب'!F11))</f>
        <v/>
      </c>
      <c r="G18" t="str">
        <f>IF('إعداد الشعب'!B11&lt;&gt;"نعم","",IF('إعداد الشعب'!G11="",الإعدادات!B7,'إعداد الشعب'!G11))</f>
        <v/>
      </c>
      <c r="H18" t="str">
        <f>IF('إعداد الشعب'!B11&lt;&gt;"نعم","",'شعبة 08'!A5)</f>
        <v/>
      </c>
      <c r="I18" t="str">
        <f>IF('إعداد الشعب'!B11&lt;&gt;"نعم","",'شعبة 08'!C5)</f>
        <v/>
      </c>
      <c r="J18" t="str">
        <f>IF('إعداد الشعب'!B11&lt;&gt;"نعم","",'شعبة 08'!E5)</f>
        <v/>
      </c>
      <c r="K18" t="str">
        <f>IF('إعداد الشعب'!B11&lt;&gt;"نعم","",'شعبة 08'!G5)</f>
        <v/>
      </c>
      <c r="L18" t="str">
        <f>IF('إعداد الشعب'!B11&lt;&gt;"نعم","",'شعبة 08'!I5)</f>
        <v/>
      </c>
      <c r="M18" t="str">
        <f>IF('إعداد الشعب'!B11&lt;&gt;"نعم","",'شعبة 08'!K5)</f>
        <v/>
      </c>
      <c r="N18" s="12" t="str">
        <f>IF('إعداد الشعب'!B11&lt;&gt;"نعم","",HYPERLINK("#'شعبة 08'!A1","فتح"))</f>
        <v/>
      </c>
    </row>
    <row r="19" spans="1:14" ht="15">
      <c r="A19" s="11">
        <f>9</f>
        <v>9</v>
      </c>
      <c r="B19" s="20" t="str">
        <f>IF('إعداد الشعب'!B12&lt;&gt;"نعم","",'إعداد الشعب'!H12)</f>
        <v/>
      </c>
      <c r="C19" t="str">
        <f>IF('إعداد الشعب'!B12&lt;&gt;"نعم","",'إعداد الشعب'!C12)</f>
        <v/>
      </c>
      <c r="D19" t="str">
        <f>IF('إعداد الشعب'!B12&lt;&gt;"نعم","",'إعداد الشعب'!D12)</f>
        <v/>
      </c>
      <c r="E19" t="str">
        <f>IF('إعداد الشعب'!B12&lt;&gt;"نعم","",'إعداد الشعب'!E12)</f>
        <v/>
      </c>
      <c r="F19" t="str">
        <f>IF('إعداد الشعب'!B12&lt;&gt;"نعم","",IF('إعداد الشعب'!F12="",الإعدادات!B6,'إعداد الشعب'!F12))</f>
        <v/>
      </c>
      <c r="G19" t="str">
        <f>IF('إعداد الشعب'!B12&lt;&gt;"نعم","",IF('إعداد الشعب'!G12="",الإعدادات!B7,'إعداد الشعب'!G12))</f>
        <v/>
      </c>
      <c r="H19" t="str">
        <f>IF('إعداد الشعب'!B12&lt;&gt;"نعم","",'شعبة 09'!A5)</f>
        <v/>
      </c>
      <c r="I19" t="str">
        <f>IF('إعداد الشعب'!B12&lt;&gt;"نعم","",'شعبة 09'!C5)</f>
        <v/>
      </c>
      <c r="J19" t="str">
        <f>IF('إعداد الشعب'!B12&lt;&gt;"نعم","",'شعبة 09'!E5)</f>
        <v/>
      </c>
      <c r="K19" t="str">
        <f>IF('إعداد الشعب'!B12&lt;&gt;"نعم","",'شعبة 09'!G5)</f>
        <v/>
      </c>
      <c r="L19" t="str">
        <f>IF('إعداد الشعب'!B12&lt;&gt;"نعم","",'شعبة 09'!I5)</f>
        <v/>
      </c>
      <c r="M19" t="str">
        <f>IF('إعداد الشعب'!B12&lt;&gt;"نعم","",'شعبة 09'!K5)</f>
        <v/>
      </c>
      <c r="N19" s="12" t="str">
        <f>IF('إعداد الشعب'!B12&lt;&gt;"نعم","",HYPERLINK("#'شعبة 09'!A1","فتح"))</f>
        <v/>
      </c>
    </row>
    <row r="20" spans="1:14" ht="15">
      <c r="A20" s="11">
        <f>10</f>
        <v>10</v>
      </c>
      <c r="B20" s="20" t="str">
        <f>IF('إعداد الشعب'!B13&lt;&gt;"نعم","",'إعداد الشعب'!H13)</f>
        <v/>
      </c>
      <c r="C20" t="str">
        <f>IF('إعداد الشعب'!B13&lt;&gt;"نعم","",'إعداد الشعب'!C13)</f>
        <v/>
      </c>
      <c r="D20" t="str">
        <f>IF('إعداد الشعب'!B13&lt;&gt;"نعم","",'إعداد الشعب'!D13)</f>
        <v/>
      </c>
      <c r="E20" t="str">
        <f>IF('إعداد الشعب'!B13&lt;&gt;"نعم","",'إعداد الشعب'!E13)</f>
        <v/>
      </c>
      <c r="F20" t="str">
        <f>IF('إعداد الشعب'!B13&lt;&gt;"نعم","",IF('إعداد الشعب'!F13="",الإعدادات!B6,'إعداد الشعب'!F13))</f>
        <v/>
      </c>
      <c r="G20" t="str">
        <f>IF('إعداد الشعب'!B13&lt;&gt;"نعم","",IF('إعداد الشعب'!G13="",الإعدادات!B7,'إعداد الشعب'!G13))</f>
        <v/>
      </c>
      <c r="H20" t="str">
        <f>IF('إعداد الشعب'!B13&lt;&gt;"نعم","",'شعبة 10'!A5)</f>
        <v/>
      </c>
      <c r="I20" t="str">
        <f>IF('إعداد الشعب'!B13&lt;&gt;"نعم","",'شعبة 10'!C5)</f>
        <v/>
      </c>
      <c r="J20" t="str">
        <f>IF('إعداد الشعب'!B13&lt;&gt;"نعم","",'شعبة 10'!E5)</f>
        <v/>
      </c>
      <c r="K20" t="str">
        <f>IF('إعداد الشعب'!B13&lt;&gt;"نعم","",'شعبة 10'!G5)</f>
        <v/>
      </c>
      <c r="L20" t="str">
        <f>IF('إعداد الشعب'!B13&lt;&gt;"نعم","",'شعبة 10'!I5)</f>
        <v/>
      </c>
      <c r="M20" t="str">
        <f>IF('إعداد الشعب'!B13&lt;&gt;"نعم","",'شعبة 10'!K5)</f>
        <v/>
      </c>
      <c r="N20" s="12" t="str">
        <f>IF('إعداد الشعب'!B13&lt;&gt;"نعم","",HYPERLINK("#'شعبة 10'!A1","فتح"))</f>
        <v/>
      </c>
    </row>
    <row r="21" spans="1:14" ht="15">
      <c r="A21" s="11">
        <f>11</f>
        <v>11</v>
      </c>
      <c r="B21" s="20" t="str">
        <f>IF('إعداد الشعب'!B14&lt;&gt;"نعم","",'إعداد الشعب'!H14)</f>
        <v/>
      </c>
      <c r="C21" t="str">
        <f>IF('إعداد الشعب'!B14&lt;&gt;"نعم","",'إعداد الشعب'!C14)</f>
        <v/>
      </c>
      <c r="D21" t="str">
        <f>IF('إعداد الشعب'!B14&lt;&gt;"نعم","",'إعداد الشعب'!D14)</f>
        <v/>
      </c>
      <c r="E21" t="str">
        <f>IF('إعداد الشعب'!B14&lt;&gt;"نعم","",'إعداد الشعب'!E14)</f>
        <v/>
      </c>
      <c r="F21" t="str">
        <f>IF('إعداد الشعب'!B14&lt;&gt;"نعم","",IF('إعداد الشعب'!F14="",الإعدادات!B6,'إعداد الشعب'!F14))</f>
        <v/>
      </c>
      <c r="G21" t="str">
        <f>IF('إعداد الشعب'!B14&lt;&gt;"نعم","",IF('إعداد الشعب'!G14="",الإعدادات!B7,'إعداد الشعب'!G14))</f>
        <v/>
      </c>
      <c r="H21" t="str">
        <f>IF('إعداد الشعب'!B14&lt;&gt;"نعم","",'شعبة 11'!A5)</f>
        <v/>
      </c>
      <c r="I21" t="str">
        <f>IF('إعداد الشعب'!B14&lt;&gt;"نعم","",'شعبة 11'!C5)</f>
        <v/>
      </c>
      <c r="J21" t="str">
        <f>IF('إعداد الشعب'!B14&lt;&gt;"نعم","",'شعبة 11'!E5)</f>
        <v/>
      </c>
      <c r="K21" t="str">
        <f>IF('إعداد الشعب'!B14&lt;&gt;"نعم","",'شعبة 11'!G5)</f>
        <v/>
      </c>
      <c r="L21" t="str">
        <f>IF('إعداد الشعب'!B14&lt;&gt;"نعم","",'شعبة 11'!I5)</f>
        <v/>
      </c>
      <c r="M21" t="str">
        <f>IF('إعداد الشعب'!B14&lt;&gt;"نعم","",'شعبة 11'!K5)</f>
        <v/>
      </c>
      <c r="N21" s="12" t="str">
        <f>IF('إعداد الشعب'!B14&lt;&gt;"نعم","",HYPERLINK("#'شعبة 11'!A1","فتح"))</f>
        <v/>
      </c>
    </row>
    <row r="22" spans="1:14" ht="15">
      <c r="A22" s="11">
        <f>12</f>
        <v>12</v>
      </c>
      <c r="B22" s="20" t="str">
        <f>IF('إعداد الشعب'!B15&lt;&gt;"نعم","",'إعداد الشعب'!H15)</f>
        <v/>
      </c>
      <c r="C22" t="str">
        <f>IF('إعداد الشعب'!B15&lt;&gt;"نعم","",'إعداد الشعب'!C15)</f>
        <v/>
      </c>
      <c r="D22" t="str">
        <f>IF('إعداد الشعب'!B15&lt;&gt;"نعم","",'إعداد الشعب'!D15)</f>
        <v/>
      </c>
      <c r="E22" t="str">
        <f>IF('إعداد الشعب'!B15&lt;&gt;"نعم","",'إعداد الشعب'!E15)</f>
        <v/>
      </c>
      <c r="F22" t="str">
        <f>IF('إعداد الشعب'!B15&lt;&gt;"نعم","",IF('إعداد الشعب'!F15="",الإعدادات!B6,'إعداد الشعب'!F15))</f>
        <v/>
      </c>
      <c r="G22" t="str">
        <f>IF('إعداد الشعب'!B15&lt;&gt;"نعم","",IF('إعداد الشعب'!G15="",الإعدادات!B7,'إعداد الشعب'!G15))</f>
        <v/>
      </c>
      <c r="H22" t="str">
        <f>IF('إعداد الشعب'!B15&lt;&gt;"نعم","",'شعبة 12'!A5)</f>
        <v/>
      </c>
      <c r="I22" t="str">
        <f>IF('إعداد الشعب'!B15&lt;&gt;"نعم","",'شعبة 12'!C5)</f>
        <v/>
      </c>
      <c r="J22" t="str">
        <f>IF('إعداد الشعب'!B15&lt;&gt;"نعم","",'شعبة 12'!E5)</f>
        <v/>
      </c>
      <c r="K22" t="str">
        <f>IF('إعداد الشعب'!B15&lt;&gt;"نعم","",'شعبة 12'!G5)</f>
        <v/>
      </c>
      <c r="L22" t="str">
        <f>IF('إعداد الشعب'!B15&lt;&gt;"نعم","",'شعبة 12'!I5)</f>
        <v/>
      </c>
      <c r="M22" t="str">
        <f>IF('إعداد الشعب'!B15&lt;&gt;"نعم","",'شعبة 12'!K5)</f>
        <v/>
      </c>
      <c r="N22" s="12" t="str">
        <f>IF('إعداد الشعب'!B15&lt;&gt;"نعم","",HYPERLINK("#'شعبة 12'!A1","فتح"))</f>
        <v/>
      </c>
    </row>
    <row r="23" spans="1:14" ht="15">
      <c r="A23" s="11">
        <f>13</f>
        <v>13</v>
      </c>
      <c r="B23" s="20" t="str">
        <f>IF('إعداد الشعب'!B16&lt;&gt;"نعم","",'إعداد الشعب'!H16)</f>
        <v/>
      </c>
      <c r="C23" t="str">
        <f>IF('إعداد الشعب'!B16&lt;&gt;"نعم","",'إعداد الشعب'!C16)</f>
        <v/>
      </c>
      <c r="D23" t="str">
        <f>IF('إعداد الشعب'!B16&lt;&gt;"نعم","",'إعداد الشعب'!D16)</f>
        <v/>
      </c>
      <c r="E23" t="str">
        <f>IF('إعداد الشعب'!B16&lt;&gt;"نعم","",'إعداد الشعب'!E16)</f>
        <v/>
      </c>
      <c r="F23" t="str">
        <f>IF('إعداد الشعب'!B16&lt;&gt;"نعم","",IF('إعداد الشعب'!F16="",الإعدادات!B6,'إعداد الشعب'!F16))</f>
        <v/>
      </c>
      <c r="G23" t="str">
        <f>IF('إعداد الشعب'!B16&lt;&gt;"نعم","",IF('إعداد الشعب'!G16="",الإعدادات!B7,'إعداد الشعب'!G16))</f>
        <v/>
      </c>
      <c r="H23" t="str">
        <f>IF('إعداد الشعب'!B16&lt;&gt;"نعم","",'شعبة 13'!A5)</f>
        <v/>
      </c>
      <c r="I23" t="str">
        <f>IF('إعداد الشعب'!B16&lt;&gt;"نعم","",'شعبة 13'!C5)</f>
        <v/>
      </c>
      <c r="J23" t="str">
        <f>IF('إعداد الشعب'!B16&lt;&gt;"نعم","",'شعبة 13'!E5)</f>
        <v/>
      </c>
      <c r="K23" t="str">
        <f>IF('إعداد الشعب'!B16&lt;&gt;"نعم","",'شعبة 13'!G5)</f>
        <v/>
      </c>
      <c r="L23" t="str">
        <f>IF('إعداد الشعب'!B16&lt;&gt;"نعم","",'شعبة 13'!I5)</f>
        <v/>
      </c>
      <c r="M23" t="str">
        <f>IF('إعداد الشعب'!B16&lt;&gt;"نعم","",'شعبة 13'!K5)</f>
        <v/>
      </c>
      <c r="N23" s="12" t="str">
        <f>IF('إعداد الشعب'!B16&lt;&gt;"نعم","",HYPERLINK("#'شعبة 13'!A1","فتح"))</f>
        <v/>
      </c>
    </row>
    <row r="24" spans="1:14" ht="15">
      <c r="A24" s="11">
        <f>14</f>
        <v>14</v>
      </c>
      <c r="B24" s="20" t="str">
        <f>IF('إعداد الشعب'!B17&lt;&gt;"نعم","",'إعداد الشعب'!H17)</f>
        <v/>
      </c>
      <c r="C24" t="str">
        <f>IF('إعداد الشعب'!B17&lt;&gt;"نعم","",'إعداد الشعب'!C17)</f>
        <v/>
      </c>
      <c r="D24" t="str">
        <f>IF('إعداد الشعب'!B17&lt;&gt;"نعم","",'إعداد الشعب'!D17)</f>
        <v/>
      </c>
      <c r="E24" t="str">
        <f>IF('إعداد الشعب'!B17&lt;&gt;"نعم","",'إعداد الشعب'!E17)</f>
        <v/>
      </c>
      <c r="F24" t="str">
        <f>IF('إعداد الشعب'!B17&lt;&gt;"نعم","",IF('إعداد الشعب'!F17="",الإعدادات!B6,'إعداد الشعب'!F17))</f>
        <v/>
      </c>
      <c r="G24" t="str">
        <f>IF('إعداد الشعب'!B17&lt;&gt;"نعم","",IF('إعداد الشعب'!G17="",الإعدادات!B7,'إعداد الشعب'!G17))</f>
        <v/>
      </c>
      <c r="H24" t="str">
        <f>IF('إعداد الشعب'!B17&lt;&gt;"نعم","",'شعبة 14'!A5)</f>
        <v/>
      </c>
      <c r="I24" t="str">
        <f>IF('إعداد الشعب'!B17&lt;&gt;"نعم","",'شعبة 14'!C5)</f>
        <v/>
      </c>
      <c r="J24" t="str">
        <f>IF('إعداد الشعب'!B17&lt;&gt;"نعم","",'شعبة 14'!E5)</f>
        <v/>
      </c>
      <c r="K24" t="str">
        <f>IF('إعداد الشعب'!B17&lt;&gt;"نعم","",'شعبة 14'!G5)</f>
        <v/>
      </c>
      <c r="L24" t="str">
        <f>IF('إعداد الشعب'!B17&lt;&gt;"نعم","",'شعبة 14'!I5)</f>
        <v/>
      </c>
      <c r="M24" t="str">
        <f>IF('إعداد الشعب'!B17&lt;&gt;"نعم","",'شعبة 14'!K5)</f>
        <v/>
      </c>
      <c r="N24" s="12" t="str">
        <f>IF('إعداد الشعب'!B17&lt;&gt;"نعم","",HYPERLINK("#'شعبة 14'!A1","فتح"))</f>
        <v/>
      </c>
    </row>
    <row r="25" spans="1:14" ht="15">
      <c r="A25" s="11">
        <f>15</f>
        <v>15</v>
      </c>
      <c r="B25" s="20" t="str">
        <f>IF('إعداد الشعب'!B18&lt;&gt;"نعم","",'إعداد الشعب'!H18)</f>
        <v/>
      </c>
      <c r="C25" t="str">
        <f>IF('إعداد الشعب'!B18&lt;&gt;"نعم","",'إعداد الشعب'!C18)</f>
        <v/>
      </c>
      <c r="D25" t="str">
        <f>IF('إعداد الشعب'!B18&lt;&gt;"نعم","",'إعداد الشعب'!D18)</f>
        <v/>
      </c>
      <c r="E25" t="str">
        <f>IF('إعداد الشعب'!B18&lt;&gt;"نعم","",'إعداد الشعب'!E18)</f>
        <v/>
      </c>
      <c r="F25" t="str">
        <f>IF('إعداد الشعب'!B18&lt;&gt;"نعم","",IF('إعداد الشعب'!F18="",الإعدادات!B6,'إعداد الشعب'!F18))</f>
        <v/>
      </c>
      <c r="G25" t="str">
        <f>IF('إعداد الشعب'!B18&lt;&gt;"نعم","",IF('إعداد الشعب'!G18="",الإعدادات!B7,'إعداد الشعب'!G18))</f>
        <v/>
      </c>
      <c r="H25" t="str">
        <f>IF('إعداد الشعب'!B18&lt;&gt;"نعم","",'شعبة 15'!A5)</f>
        <v/>
      </c>
      <c r="I25" t="str">
        <f>IF('إعداد الشعب'!B18&lt;&gt;"نعم","",'شعبة 15'!C5)</f>
        <v/>
      </c>
      <c r="J25" t="str">
        <f>IF('إعداد الشعب'!B18&lt;&gt;"نعم","",'شعبة 15'!E5)</f>
        <v/>
      </c>
      <c r="K25" t="str">
        <f>IF('إعداد الشعب'!B18&lt;&gt;"نعم","",'شعبة 15'!G5)</f>
        <v/>
      </c>
      <c r="L25" t="str">
        <f>IF('إعداد الشعب'!B18&lt;&gt;"نعم","",'شعبة 15'!I5)</f>
        <v/>
      </c>
      <c r="M25" t="str">
        <f>IF('إعداد الشعب'!B18&lt;&gt;"نعم","",'شعبة 15'!K5)</f>
        <v/>
      </c>
      <c r="N25" s="12" t="str">
        <f>IF('إعداد الشعب'!B18&lt;&gt;"نعم","",HYPERLINK("#'شعبة 15'!A1","فتح"))</f>
        <v/>
      </c>
    </row>
    <row r="26" spans="1:14" ht="15">
      <c r="A26" s="11">
        <f>16</f>
        <v>16</v>
      </c>
      <c r="B26" s="20" t="str">
        <f>IF('إعداد الشعب'!B19&lt;&gt;"نعم","",'إعداد الشعب'!H19)</f>
        <v/>
      </c>
      <c r="C26" t="str">
        <f>IF('إعداد الشعب'!B19&lt;&gt;"نعم","",'إعداد الشعب'!C19)</f>
        <v/>
      </c>
      <c r="D26" t="str">
        <f>IF('إعداد الشعب'!B19&lt;&gt;"نعم","",'إعداد الشعب'!D19)</f>
        <v/>
      </c>
      <c r="E26" t="str">
        <f>IF('إعداد الشعب'!B19&lt;&gt;"نعم","",'إعداد الشعب'!E19)</f>
        <v/>
      </c>
      <c r="F26" t="str">
        <f>IF('إعداد الشعب'!B19&lt;&gt;"نعم","",IF('إعداد الشعب'!F19="",الإعدادات!B6,'إعداد الشعب'!F19))</f>
        <v/>
      </c>
      <c r="G26" t="str">
        <f>IF('إعداد الشعب'!B19&lt;&gt;"نعم","",IF('إعداد الشعب'!G19="",الإعدادات!B7,'إعداد الشعب'!G19))</f>
        <v/>
      </c>
      <c r="H26" t="str">
        <f>IF('إعداد الشعب'!B19&lt;&gt;"نعم","",'شعبة 16'!A5)</f>
        <v/>
      </c>
      <c r="I26" t="str">
        <f>IF('إعداد الشعب'!B19&lt;&gt;"نعم","",'شعبة 16'!C5)</f>
        <v/>
      </c>
      <c r="J26" t="str">
        <f>IF('إعداد الشعب'!B19&lt;&gt;"نعم","",'شعبة 16'!E5)</f>
        <v/>
      </c>
      <c r="K26" t="str">
        <f>IF('إعداد الشعب'!B19&lt;&gt;"نعم","",'شعبة 16'!G5)</f>
        <v/>
      </c>
      <c r="L26" t="str">
        <f>IF('إعداد الشعب'!B19&lt;&gt;"نعم","",'شعبة 16'!I5)</f>
        <v/>
      </c>
      <c r="M26" t="str">
        <f>IF('إعداد الشعب'!B19&lt;&gt;"نعم","",'شعبة 16'!K5)</f>
        <v/>
      </c>
      <c r="N26" s="12" t="str">
        <f>IF('إعداد الشعب'!B19&lt;&gt;"نعم","",HYPERLINK("#'شعبة 16'!A1","فتح"))</f>
        <v/>
      </c>
    </row>
    <row r="27" spans="1:14" ht="15">
      <c r="A27" s="11">
        <f>17</f>
        <v>17</v>
      </c>
      <c r="B27" s="20" t="str">
        <f>IF('إعداد الشعب'!B20&lt;&gt;"نعم","",'إعداد الشعب'!H20)</f>
        <v/>
      </c>
      <c r="C27" t="str">
        <f>IF('إعداد الشعب'!B20&lt;&gt;"نعم","",'إعداد الشعب'!C20)</f>
        <v/>
      </c>
      <c r="D27" t="str">
        <f>IF('إعداد الشعب'!B20&lt;&gt;"نعم","",'إعداد الشعب'!D20)</f>
        <v/>
      </c>
      <c r="E27" t="str">
        <f>IF('إعداد الشعب'!B20&lt;&gt;"نعم","",'إعداد الشعب'!E20)</f>
        <v/>
      </c>
      <c r="F27" t="str">
        <f>IF('إعداد الشعب'!B20&lt;&gt;"نعم","",IF('إعداد الشعب'!F20="",الإعدادات!B6,'إعداد الشعب'!F20))</f>
        <v/>
      </c>
      <c r="G27" t="str">
        <f>IF('إعداد الشعب'!B20&lt;&gt;"نعم","",IF('إعداد الشعب'!G20="",الإعدادات!B7,'إعداد الشعب'!G20))</f>
        <v/>
      </c>
      <c r="H27" t="str">
        <f>IF('إعداد الشعب'!B20&lt;&gt;"نعم","",'شعبة 17'!A5)</f>
        <v/>
      </c>
      <c r="I27" t="str">
        <f>IF('إعداد الشعب'!B20&lt;&gt;"نعم","",'شعبة 17'!C5)</f>
        <v/>
      </c>
      <c r="J27" t="str">
        <f>IF('إعداد الشعب'!B20&lt;&gt;"نعم","",'شعبة 17'!E5)</f>
        <v/>
      </c>
      <c r="K27" t="str">
        <f>IF('إعداد الشعب'!B20&lt;&gt;"نعم","",'شعبة 17'!G5)</f>
        <v/>
      </c>
      <c r="L27" t="str">
        <f>IF('إعداد الشعب'!B20&lt;&gt;"نعم","",'شعبة 17'!I5)</f>
        <v/>
      </c>
      <c r="M27" t="str">
        <f>IF('إعداد الشعب'!B20&lt;&gt;"نعم","",'شعبة 17'!K5)</f>
        <v/>
      </c>
      <c r="N27" s="12" t="str">
        <f>IF('إعداد الشعب'!B20&lt;&gt;"نعم","",HYPERLINK("#'شعبة 17'!A1","فتح"))</f>
        <v/>
      </c>
    </row>
    <row r="28" spans="1:14" ht="15">
      <c r="A28" s="11">
        <f>18</f>
        <v>18</v>
      </c>
      <c r="B28" s="20" t="str">
        <f>IF('إعداد الشعب'!B21&lt;&gt;"نعم","",'إعداد الشعب'!H21)</f>
        <v/>
      </c>
      <c r="C28" t="str">
        <f>IF('إعداد الشعب'!B21&lt;&gt;"نعم","",'إعداد الشعب'!C21)</f>
        <v/>
      </c>
      <c r="D28" t="str">
        <f>IF('إعداد الشعب'!B21&lt;&gt;"نعم","",'إعداد الشعب'!D21)</f>
        <v/>
      </c>
      <c r="E28" t="str">
        <f>IF('إعداد الشعب'!B21&lt;&gt;"نعم","",'إعداد الشعب'!E21)</f>
        <v/>
      </c>
      <c r="F28" t="str">
        <f>IF('إعداد الشعب'!B21&lt;&gt;"نعم","",IF('إعداد الشعب'!F21="",الإعدادات!B6,'إعداد الشعب'!F21))</f>
        <v/>
      </c>
      <c r="G28" t="str">
        <f>IF('إعداد الشعب'!B21&lt;&gt;"نعم","",IF('إعداد الشعب'!G21="",الإعدادات!B7,'إعداد الشعب'!G21))</f>
        <v/>
      </c>
      <c r="H28" t="str">
        <f>IF('إعداد الشعب'!B21&lt;&gt;"نعم","",'شعبة 18'!A5)</f>
        <v/>
      </c>
      <c r="I28" t="str">
        <f>IF('إعداد الشعب'!B21&lt;&gt;"نعم","",'شعبة 18'!C5)</f>
        <v/>
      </c>
      <c r="J28" t="str">
        <f>IF('إعداد الشعب'!B21&lt;&gt;"نعم","",'شعبة 18'!E5)</f>
        <v/>
      </c>
      <c r="K28" t="str">
        <f>IF('إعداد الشعب'!B21&lt;&gt;"نعم","",'شعبة 18'!G5)</f>
        <v/>
      </c>
      <c r="L28" t="str">
        <f>IF('إعداد الشعب'!B21&lt;&gt;"نعم","",'شعبة 18'!I5)</f>
        <v/>
      </c>
      <c r="M28" t="str">
        <f>IF('إعداد الشعب'!B21&lt;&gt;"نعم","",'شعبة 18'!K5)</f>
        <v/>
      </c>
      <c r="N28" s="12" t="str">
        <f>IF('إعداد الشعب'!B21&lt;&gt;"نعم","",HYPERLINK("#'شعبة 18'!A1","فتح"))</f>
        <v/>
      </c>
    </row>
    <row r="29" spans="1:14" ht="15">
      <c r="A29" s="11">
        <f>19</f>
        <v>19</v>
      </c>
      <c r="B29" s="20" t="str">
        <f>IF('إعداد الشعب'!B22&lt;&gt;"نعم","",'إعداد الشعب'!H22)</f>
        <v/>
      </c>
      <c r="C29" t="str">
        <f>IF('إعداد الشعب'!B22&lt;&gt;"نعم","",'إعداد الشعب'!C22)</f>
        <v/>
      </c>
      <c r="D29" t="str">
        <f>IF('إعداد الشعب'!B22&lt;&gt;"نعم","",'إعداد الشعب'!D22)</f>
        <v/>
      </c>
      <c r="E29" t="str">
        <f>IF('إعداد الشعب'!B22&lt;&gt;"نعم","",'إعداد الشعب'!E22)</f>
        <v/>
      </c>
      <c r="F29" t="str">
        <f>IF('إعداد الشعب'!B22&lt;&gt;"نعم","",IF('إعداد الشعب'!F22="",الإعدادات!B6,'إعداد الشعب'!F22))</f>
        <v/>
      </c>
      <c r="G29" t="str">
        <f>IF('إعداد الشعب'!B22&lt;&gt;"نعم","",IF('إعداد الشعب'!G22="",الإعدادات!B7,'إعداد الشعب'!G22))</f>
        <v/>
      </c>
      <c r="H29" t="str">
        <f>IF('إعداد الشعب'!B22&lt;&gt;"نعم","",'شعبة 19'!A5)</f>
        <v/>
      </c>
      <c r="I29" t="str">
        <f>IF('إعداد الشعب'!B22&lt;&gt;"نعم","",'شعبة 19'!C5)</f>
        <v/>
      </c>
      <c r="J29" t="str">
        <f>IF('إعداد الشعب'!B22&lt;&gt;"نعم","",'شعبة 19'!E5)</f>
        <v/>
      </c>
      <c r="K29" t="str">
        <f>IF('إعداد الشعب'!B22&lt;&gt;"نعم","",'شعبة 19'!G5)</f>
        <v/>
      </c>
      <c r="L29" t="str">
        <f>IF('إعداد الشعب'!B22&lt;&gt;"نعم","",'شعبة 19'!I5)</f>
        <v/>
      </c>
      <c r="M29" t="str">
        <f>IF('إعداد الشعب'!B22&lt;&gt;"نعم","",'شعبة 19'!K5)</f>
        <v/>
      </c>
      <c r="N29" s="12" t="str">
        <f>IF('إعداد الشعب'!B22&lt;&gt;"نعم","",HYPERLINK("#'شعبة 19'!A1","فتح"))</f>
        <v/>
      </c>
    </row>
    <row r="30" spans="1:14" ht="15">
      <c r="A30" s="13">
        <f>20</f>
        <v>20</v>
      </c>
      <c r="B30" s="21" t="str">
        <f>IF('إعداد الشعب'!B23&lt;&gt;"نعم","",'إعداد الشعب'!H23)</f>
        <v/>
      </c>
      <c r="C30" s="14" t="str">
        <f>IF('إعداد الشعب'!B23&lt;&gt;"نعم","",'إعداد الشعب'!C23)</f>
        <v/>
      </c>
      <c r="D30" s="14" t="str">
        <f>IF('إعداد الشعب'!B23&lt;&gt;"نعم","",'إعداد الشعب'!D23)</f>
        <v/>
      </c>
      <c r="E30" s="14" t="str">
        <f>IF('إعداد الشعب'!B23&lt;&gt;"نعم","",'إعداد الشعب'!E23)</f>
        <v/>
      </c>
      <c r="F30" s="14" t="str">
        <f>IF('إعداد الشعب'!B23&lt;&gt;"نعم","",IF('إعداد الشعب'!F23="",الإعدادات!B6,'إعداد الشعب'!F23))</f>
        <v/>
      </c>
      <c r="G30" s="14" t="str">
        <f>IF('إعداد الشعب'!B23&lt;&gt;"نعم","",IF('إعداد الشعب'!G23="",الإعدادات!B7,'إعداد الشعب'!G23))</f>
        <v/>
      </c>
      <c r="H30" s="14" t="str">
        <f>IF('إعداد الشعب'!B23&lt;&gt;"نعم","",'شعبة 20'!A5)</f>
        <v/>
      </c>
      <c r="I30" s="14" t="str">
        <f>IF('إعداد الشعب'!B23&lt;&gt;"نعم","",'شعبة 20'!C5)</f>
        <v/>
      </c>
      <c r="J30" s="14" t="str">
        <f>IF('إعداد الشعب'!B23&lt;&gt;"نعم","",'شعبة 20'!E5)</f>
        <v/>
      </c>
      <c r="K30" s="14" t="str">
        <f>IF('إعداد الشعب'!B23&lt;&gt;"نعم","",'شعبة 20'!G5)</f>
        <v/>
      </c>
      <c r="L30" s="14" t="str">
        <f>IF('إعداد الشعب'!B23&lt;&gt;"نعم","",'شعبة 20'!I5)</f>
        <v/>
      </c>
      <c r="M30" s="14" t="str">
        <f>IF('إعداد الشعب'!B23&lt;&gt;"نعم","",'شعبة 20'!K5)</f>
        <v/>
      </c>
      <c r="N30" s="15" t="str">
        <f>IF('إعداد الشعب'!B23&lt;&gt;"نعم","",HYPERLINK("#'شعبة 20'!A1","فتح"))</f>
        <v/>
      </c>
    </row>
  </sheetData>
  <mergeCells count="12">
    <mergeCell ref="A8:J8"/>
    <mergeCell ref="A6:B7"/>
    <mergeCell ref="C6:D7"/>
    <mergeCell ref="E6:F7"/>
    <mergeCell ref="G6:H7"/>
    <mergeCell ref="I6:J7"/>
    <mergeCell ref="A1:N1"/>
    <mergeCell ref="A5:B5"/>
    <mergeCell ref="C5:D5"/>
    <mergeCell ref="E5:F5"/>
    <mergeCell ref="G5:H5"/>
    <mergeCell ref="I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22"/>
  <sheetViews>
    <sheetView rightToLeft="1" topLeftCell="A52" workbookViewId="0">
      <selection activeCell="B9" sqref="B9:B42"/>
    </sheetView>
  </sheetViews>
  <sheetFormatPr defaultRowHeight="14.25"/>
  <cols>
    <col min="1" max="1" width="7" customWidth="1"/>
    <col min="2" max="2" width="24" customWidth="1"/>
    <col min="3" max="6" width="11" customWidth="1"/>
    <col min="7" max="7" width="8.5" customWidth="1"/>
    <col min="8" max="8" width="15.625" customWidth="1"/>
    <col min="9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الشعب'!B4&lt;&gt;"نعم","صفحة غير مفعلة","سجل الفصل الأول – "&amp;'إعداد الشعب'!C4&amp;" – الصف "&amp;'إعداد الشعب'!D4&amp;" – شعبة "&amp;'إعداد الشعب'!E4&amp;" – "&amp;IF('إعداد الشعب'!F4="",الإعدادات!B6,'إعداد الشعب'!F4)))</f>
        <v>⌂ سجل الفصل الأول – إعدادية – الصف 7 – شعبة 1 – الحوسبة وتكنولوجيا المعلومات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 t="str">
        <f>'إعداد الشعب'!C4</f>
        <v>إعدادية</v>
      </c>
      <c r="C2" s="22" t="s">
        <v>99</v>
      </c>
      <c r="D2">
        <f>'إعداد الشعب'!D4</f>
        <v>7</v>
      </c>
      <c r="E2" s="22" t="s">
        <v>100</v>
      </c>
      <c r="F2">
        <f>'إعداد الشعب'!E4</f>
        <v>1</v>
      </c>
      <c r="G2" s="22" t="s">
        <v>101</v>
      </c>
      <c r="H2" t="str">
        <f>IF('إعداد الشعب'!F4="",الإعدادات!B6,'إعداد الشعب'!F4)</f>
        <v>الحوسبة وتكنولوجيا المعلومات</v>
      </c>
      <c r="I2" s="22" t="s">
        <v>102</v>
      </c>
      <c r="J2" t="str">
        <f>IF('إعداد الشعب'!G4="",الإعدادات!B7,'إعداد الشعب'!G4)</f>
        <v>جمال صالح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01'!A50","سبتمبر")</f>
        <v>سبتمبر</v>
      </c>
      <c r="B7" s="73" t="str">
        <f>HYPERLINK("#'شعبة 01'!A96","أكتوبر")</f>
        <v>أكتوبر</v>
      </c>
      <c r="C7" s="73" t="str">
        <f>HYPERLINK("#'شعبة 01'!A142","نوفمبر")</f>
        <v>نوفمبر</v>
      </c>
      <c r="D7" s="73" t="str">
        <f>HYPERLINK("#'شعبة 01'!A188","ديسمبر")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.75" thickBot="1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6.5" thickBot="1">
      <c r="A9" s="8">
        <v>1</v>
      </c>
      <c r="B9" s="78"/>
      <c r="C9" s="16"/>
      <c r="D9" s="10"/>
      <c r="F9" s="61" t="s">
        <v>120</v>
      </c>
      <c r="G9" s="89" t="s">
        <v>210</v>
      </c>
      <c r="H9" s="89"/>
      <c r="I9" s="89"/>
      <c r="J9" s="89"/>
      <c r="K9" s="89"/>
      <c r="L9" s="89"/>
    </row>
    <row r="10" spans="1:33" ht="16.5" thickBot="1">
      <c r="A10" s="11">
        <v>2</v>
      </c>
      <c r="B10" s="79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6.5" thickBot="1">
      <c r="A11" s="11">
        <v>3</v>
      </c>
      <c r="B11" s="79"/>
      <c r="C11" s="17"/>
      <c r="D11" s="12"/>
      <c r="F11" s="69" t="str">
        <f>الإعدادات!H4</f>
        <v>كتاب</v>
      </c>
      <c r="G11" s="9">
        <f>IF($G$9="","",SUMIF($B$53:$B$92,$G$9,$Y$53:$Y$92))</f>
        <v>0</v>
      </c>
      <c r="H11" s="9">
        <f>IF($G$9="","",SUMIF($B$99:$B$138,$G$9,$S$99:$S$138))</f>
        <v>0</v>
      </c>
      <c r="I11" s="9">
        <f>IF($G$9="","",SUMIF($B$145:$B$184,$G$9,$Y$145:$Y$184))</f>
        <v>0</v>
      </c>
      <c r="J11" s="9">
        <f>IF($G$9="","",SUMIF($B$191:$B$230,$G$9,$P$191:$P$230))</f>
        <v>0</v>
      </c>
      <c r="K11" s="10">
        <f t="shared" ref="K11:K17" si="0">SUM(G11:J11)</f>
        <v>0</v>
      </c>
      <c r="L11" s="9"/>
      <c r="M11" s="10"/>
    </row>
    <row r="12" spans="1:33" ht="16.5" thickBot="1">
      <c r="A12" s="11">
        <v>4</v>
      </c>
      <c r="B12" s="79"/>
      <c r="C12" s="17"/>
      <c r="D12" s="12"/>
      <c r="F12" s="70" t="str">
        <f>الإعدادات!H5</f>
        <v>نوم</v>
      </c>
      <c r="G12">
        <f>IF($G$9="","",SUMIF($B$53:$B$92,$G$9,$Z$53:$Z$92))</f>
        <v>0</v>
      </c>
      <c r="H12">
        <f>IF($G$9="","",SUMIF($B$99:$B$138,$G$9,$T$99:$T$138))</f>
        <v>0</v>
      </c>
      <c r="I12">
        <f>IF($G$9="","",SUMIF($B$145:$B$184,$G$9,$Z$145:$Z$184))</f>
        <v>0</v>
      </c>
      <c r="J12">
        <f>IF($G$9="","",SUMIF($B$191:$B$230,$G$9,$Q$191:$Q$230))</f>
        <v>0</v>
      </c>
      <c r="K12" s="12">
        <f t="shared" si="0"/>
        <v>0</v>
      </c>
      <c r="M12" s="12"/>
    </row>
    <row r="13" spans="1:33" ht="16.5" thickBot="1">
      <c r="A13" s="11">
        <v>5</v>
      </c>
      <c r="B13" s="79"/>
      <c r="C13" s="17"/>
      <c r="D13" s="12"/>
      <c r="F13" s="70" t="str">
        <f>الإعدادات!H6</f>
        <v>سلوك</v>
      </c>
      <c r="G13">
        <f>IF($G$9="","",SUMIF($B$53:$B$92,$G$9,$AA$53:$AA$92))</f>
        <v>0</v>
      </c>
      <c r="H13">
        <f>IF($G$9="","",SUMIF($B$99:$B$138,$G$9,$U$99:$U$138))</f>
        <v>0</v>
      </c>
      <c r="I13">
        <f>IF($G$9="","",SUMIF($B$145:$B$184,$G$9,$AA$145:$AA$184))</f>
        <v>0</v>
      </c>
      <c r="J13">
        <f>IF($G$9="","",SUMIF($B$191:$B$230,$G$9,$R$191:$R$230))</f>
        <v>0</v>
      </c>
      <c r="K13" s="12">
        <f t="shared" si="0"/>
        <v>0</v>
      </c>
      <c r="M13" s="12"/>
    </row>
    <row r="14" spans="1:33" ht="16.5" thickBot="1">
      <c r="A14" s="11">
        <v>6</v>
      </c>
      <c r="B14" s="79"/>
      <c r="C14" s="17"/>
      <c r="D14" s="12"/>
      <c r="F14" s="70" t="str">
        <f>الإعدادات!H7</f>
        <v>غياب</v>
      </c>
      <c r="G14">
        <f>IF($G$9="","",SUMIF($B$53:$B$92,$G$9,$AB$53:$AB$92))</f>
        <v>0</v>
      </c>
      <c r="H14">
        <f>IF($G$9="","",SUMIF($B$99:$B$138,$G$9,$V$99:$V$138))</f>
        <v>0</v>
      </c>
      <c r="I14">
        <f>IF($G$9="","",SUMIF($B$145:$B$184,$G$9,$AB$145:$AB$184))</f>
        <v>0</v>
      </c>
      <c r="J14">
        <f>IF($G$9="","",SUMIF($B$191:$B$230,$G$9,$S$191:$S$230))</f>
        <v>0</v>
      </c>
      <c r="K14" s="12">
        <f t="shared" si="0"/>
        <v>0</v>
      </c>
      <c r="M14" s="12"/>
    </row>
    <row r="15" spans="1:33" ht="16.5" thickBot="1">
      <c r="A15" s="11">
        <v>7</v>
      </c>
      <c r="B15" s="79"/>
      <c r="C15" s="17"/>
      <c r="D15" s="12"/>
      <c r="F15" s="70" t="str">
        <f>الإعدادات!H8</f>
        <v>تأخر</v>
      </c>
      <c r="G15">
        <f>IF($G$9="","",SUMIF($B$53:$B$92,$G$9,$AC$53:$AC$92))</f>
        <v>0</v>
      </c>
      <c r="H15">
        <f>IF($G$9="","",SUMIF($B$99:$B$138,$G$9,$W$99:$W$138))</f>
        <v>0</v>
      </c>
      <c r="I15">
        <f>IF($G$9="","",SUMIF($B$145:$B$184,$G$9,$AC$145:$AC$184))</f>
        <v>0</v>
      </c>
      <c r="J15">
        <f>IF($G$9="","",SUMIF($B$191:$B$230,$G$9,$T$191:$T$230))</f>
        <v>0</v>
      </c>
      <c r="K15" s="12">
        <f t="shared" si="0"/>
        <v>0</v>
      </c>
      <c r="M15" s="12"/>
    </row>
    <row r="16" spans="1:33" ht="16.5" thickBot="1">
      <c r="A16" s="11">
        <v>8</v>
      </c>
      <c r="B16" s="79"/>
      <c r="C16" s="17"/>
      <c r="D16" s="12"/>
      <c r="F16" s="70" t="str">
        <f>الإعدادات!H9</f>
        <v>حل الواجبات</v>
      </c>
      <c r="G16">
        <f>IF($G$9="","",SUMIF($B$53:$B$92,$G$9,$AD$53:$AD$92))</f>
        <v>0</v>
      </c>
      <c r="H16">
        <f>IF($G$9="","",SUMIF($B$99:$B$138,$G$9,$X$99:$X$138))</f>
        <v>0</v>
      </c>
      <c r="I16">
        <f>IF($G$9="","",SUMIF($B$145:$B$184,$G$9,$AD$145:$AD$184))</f>
        <v>0</v>
      </c>
      <c r="J16">
        <f>IF($G$9="","",SUMIF($B$191:$B$230,$G$9,$U$191:$U$230))</f>
        <v>0</v>
      </c>
      <c r="K16" s="12">
        <f t="shared" si="0"/>
        <v>0</v>
      </c>
      <c r="M16" s="12"/>
    </row>
    <row r="17" spans="1:14" ht="16.5" thickBot="1">
      <c r="A17" s="11">
        <v>9</v>
      </c>
      <c r="B17" s="79"/>
      <c r="C17" s="17"/>
      <c r="D17" s="12"/>
      <c r="F17" s="71" t="str">
        <f>الإعدادات!H10</f>
        <v>تميز ★</v>
      </c>
      <c r="G17" s="14">
        <f>IF($G$9="","",SUMIF($B$53:$B$92,$G$9,$AE$53:$AE$92))</f>
        <v>0</v>
      </c>
      <c r="H17" s="14">
        <f>IF($G$9="","",SUMIF($B$99:$B$138,$G$9,$Y$99:$Y$138))</f>
        <v>0</v>
      </c>
      <c r="I17" s="14">
        <f>IF($G$9="","",SUMIF($B$145:$B$184,$G$9,$AE$145:$AE$184))</f>
        <v>0</v>
      </c>
      <c r="J17" s="14">
        <f>IF($G$9="","",SUMIF($B$191:$B$230,$G$9,$V$191:$V$230))</f>
        <v>0</v>
      </c>
      <c r="K17" s="15">
        <f t="shared" si="0"/>
        <v>0</v>
      </c>
      <c r="L17" s="14"/>
      <c r="M17" s="15"/>
    </row>
    <row r="18" spans="1:14" ht="16.5" thickBot="1">
      <c r="A18" s="11">
        <v>10</v>
      </c>
      <c r="B18" s="79"/>
      <c r="C18" s="17"/>
      <c r="D18" s="12"/>
    </row>
    <row r="19" spans="1:14" ht="16.5" thickBot="1">
      <c r="A19" s="11">
        <v>11</v>
      </c>
      <c r="B19" s="79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6.5" thickBot="1">
      <c r="A20" s="11">
        <v>12</v>
      </c>
      <c r="B20" s="79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6.5" thickBot="1">
      <c r="A21" s="11">
        <v>13</v>
      </c>
      <c r="B21" s="79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6.5" thickBot="1">
      <c r="A22" s="11">
        <v>14</v>
      </c>
      <c r="B22" s="79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 ht="16.5" thickBot="1">
      <c r="A23" s="11">
        <v>15</v>
      </c>
      <c r="B23" s="79"/>
      <c r="C23" s="17"/>
      <c r="D23" s="12"/>
    </row>
    <row r="24" spans="1:14" ht="26.1" customHeight="1" thickBot="1">
      <c r="A24" s="46">
        <v>16</v>
      </c>
      <c r="B24" s="79"/>
      <c r="C24" s="47"/>
      <c r="D24" s="48"/>
      <c r="E24" s="47"/>
      <c r="F24" s="47"/>
      <c r="G24" s="49"/>
    </row>
    <row r="25" spans="1:14" ht="16.5" thickBot="1">
      <c r="A25" s="11">
        <v>17</v>
      </c>
      <c r="B25" s="79"/>
      <c r="C25" s="17"/>
      <c r="D25" s="12"/>
    </row>
    <row r="26" spans="1:14" ht="16.5" thickBot="1">
      <c r="A26" s="11">
        <v>18</v>
      </c>
      <c r="B26" s="79"/>
      <c r="C26" s="17"/>
      <c r="D26" s="12"/>
    </row>
    <row r="27" spans="1:14" ht="16.5" thickBot="1">
      <c r="A27" s="11">
        <v>19</v>
      </c>
      <c r="B27" s="79"/>
      <c r="C27" s="17"/>
      <c r="D27" s="12"/>
    </row>
    <row r="28" spans="1:14" ht="16.5" thickBot="1">
      <c r="A28" s="11">
        <v>20</v>
      </c>
      <c r="B28" s="79"/>
      <c r="C28" s="17"/>
      <c r="D28" s="12"/>
    </row>
    <row r="29" spans="1:14" ht="16.5" thickBot="1">
      <c r="A29" s="11">
        <v>21</v>
      </c>
      <c r="B29" s="79"/>
      <c r="C29" s="17"/>
      <c r="D29" s="12"/>
    </row>
    <row r="30" spans="1:14" ht="16.5" thickBot="1">
      <c r="A30" s="11">
        <v>22</v>
      </c>
      <c r="B30" s="79"/>
      <c r="C30" s="17"/>
      <c r="D30" s="12"/>
    </row>
    <row r="31" spans="1:14" ht="16.5" thickBot="1">
      <c r="A31" s="11">
        <v>23</v>
      </c>
      <c r="B31" s="79"/>
      <c r="C31" s="17"/>
      <c r="D31" s="12"/>
    </row>
    <row r="32" spans="1:14" ht="16.5" thickBot="1">
      <c r="A32" s="11">
        <v>24</v>
      </c>
      <c r="B32" s="79"/>
      <c r="C32" s="17"/>
      <c r="D32" s="12"/>
    </row>
    <row r="33" spans="1:4" ht="16.5" thickBot="1">
      <c r="A33" s="11">
        <v>25</v>
      </c>
      <c r="B33" s="79"/>
      <c r="C33" s="17"/>
      <c r="D33" s="12"/>
    </row>
    <row r="34" spans="1:4" ht="16.5" thickBot="1">
      <c r="A34" s="11">
        <v>26</v>
      </c>
      <c r="B34" s="79"/>
      <c r="C34" s="17"/>
      <c r="D34" s="12"/>
    </row>
    <row r="35" spans="1:4" ht="16.5" thickBot="1">
      <c r="A35" s="11">
        <v>27</v>
      </c>
      <c r="B35" s="79"/>
      <c r="C35" s="17"/>
      <c r="D35" s="12"/>
    </row>
    <row r="36" spans="1:4" ht="16.5" thickBot="1">
      <c r="A36" s="11">
        <v>28</v>
      </c>
      <c r="B36" s="79"/>
      <c r="C36" s="17"/>
      <c r="D36" s="12"/>
    </row>
    <row r="37" spans="1:4" ht="16.5" thickBot="1">
      <c r="A37" s="11">
        <v>29</v>
      </c>
      <c r="B37" s="79"/>
      <c r="C37" s="17"/>
      <c r="D37" s="12"/>
    </row>
    <row r="38" spans="1:4" ht="16.5" thickBot="1">
      <c r="A38" s="11">
        <v>30</v>
      </c>
      <c r="B38" s="79"/>
      <c r="C38" s="17"/>
      <c r="D38" s="12"/>
    </row>
    <row r="39" spans="1:4" ht="16.5" thickBot="1">
      <c r="A39" s="11">
        <v>31</v>
      </c>
      <c r="B39" s="79"/>
      <c r="C39" s="17"/>
      <c r="D39" s="12"/>
    </row>
    <row r="40" spans="1:4" ht="16.5" thickBot="1">
      <c r="A40" s="11">
        <v>32</v>
      </c>
      <c r="B40" s="79"/>
      <c r="C40" s="17"/>
      <c r="D40" s="12"/>
    </row>
    <row r="41" spans="1:4" ht="16.5" thickBot="1">
      <c r="A41" s="11">
        <v>33</v>
      </c>
      <c r="B41" s="79"/>
      <c r="C41" s="17"/>
      <c r="D41" s="12"/>
    </row>
    <row r="42" spans="1:4" ht="16.5" thickBot="1">
      <c r="A42" s="11">
        <v>34</v>
      </c>
      <c r="B42" s="79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 t="s">
        <v>52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K54" t="s">
        <v>39</v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K58" t="s">
        <v>39</v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K63" t="s">
        <v>39</v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K64" t="s">
        <v>39</v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K70" t="s">
        <v>39</v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K73" t="s">
        <v>39</v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500-000000000000}">
      <formula1>"نعم,لا"</formula1>
    </dataValidation>
    <dataValidation type="list" allowBlank="1" sqref="G9" xr:uid="{00000000-0002-0000-05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5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" id="{00000000-000E-0000-05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5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5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5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5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5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2" id="{00000000-000E-0000-05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3" id="{00000000-000E-0000-05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5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5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5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7" id="{00000000-000E-0000-05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8" id="{00000000-000E-0000-05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9" id="{00000000-000E-0000-05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48" id="{00000000-000E-0000-05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7" id="{00000000-000E-0000-05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6" id="{00000000-000E-0000-05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5" id="{00000000-000E-0000-05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4" id="{00000000-000E-0000-05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5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3" id="{00000000-000E-0000-05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2" id="{00000000-000E-0000-05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1" id="{00000000-000E-0000-05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0" id="{00000000-000E-0000-05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9" id="{00000000-000E-0000-05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5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5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29" id="{00000000-000E-0000-05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30" id="{00000000-000E-0000-05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1" id="{00000000-000E-0000-05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2" id="{00000000-000E-0000-05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3" id="{00000000-000E-0000-05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4" id="{00000000-000E-0000-05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5" id="{00000000-000E-0000-05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5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37" id="{00000000-000E-0000-05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8" id="{00000000-000E-0000-05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9" id="{00000000-000E-0000-05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40" id="{00000000-000E-0000-05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41" id="{00000000-000E-0000-05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2" id="{00000000-000E-0000-05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1" id="{00000000-000E-0000-05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0" id="{00000000-000E-0000-05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9" id="{00000000-000E-0000-05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5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5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5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15" id="{00000000-000E-0000-05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C145:Y184</xm:sqref>
        </x14:conditionalFormatting>
        <x14:conditionalFormatting xmlns:xm="http://schemas.microsoft.com/office/excel/2006/main">
          <x14:cfRule type="expression" priority="65" id="{00000000-000E-0000-0500-000041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6" id="{00000000-000E-0000-0500-000042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7" id="{00000000-000E-0000-0500-000043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8" id="{00000000-000E-0000-0500-000044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9" id="{00000000-000E-0000-0500-000045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70" id="{00000000-000E-0000-0500-000046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K53:K92 C99:J138 L99:R138 C191:O230</xm:sqref>
        </x14:conditionalFormatting>
        <x14:conditionalFormatting xmlns:xm="http://schemas.microsoft.com/office/excel/2006/main">
          <x14:cfRule type="expression" priority="8" id="{00000000-000E-0000-0500-000008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4" id="{00000000-000E-0000-0500-00000E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3" id="{00000000-000E-0000-0500-00000D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2" id="{00000000-000E-0000-0500-00000C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1" id="{00000000-000E-0000-0500-00000B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0" id="{00000000-000E-0000-0500-00000A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9" id="{00000000-000E-0000-0500-000009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K53:K92 C99:J138 L99:V138</xm:sqref>
        </x14:conditionalFormatting>
        <x14:conditionalFormatting xmlns:xm="http://schemas.microsoft.com/office/excel/2006/main">
          <x14:cfRule type="expression" priority="64" id="{00000000-000E-0000-0500-000040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K53:K92 C191:O230 C99:J138 L99:R138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500-000002000000}">
          <x14:formula1>
            <xm:f>الإعدادات!$H$4:$H$10</xm:f>
          </x14:formula1>
          <xm:sqref>C191:O230 C145:X184 C53:X92 C99:J138 L99:R138</xm:sqref>
        </x14:dataValidation>
        <x14:dataValidation type="list" allowBlank="1" xr:uid="{00000000-0002-0000-0500-000003000000}">
          <x14:formula1>
            <xm:f>الإعدادات!$H$4:$H$10</xm:f>
          </x14:formula1>
          <xm:sqref>C191:Y230 K53:K92 C99:J138 L99:W138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500-000006000000}">
          <x14:formula1>
            <xm:f>الإعدادات!$H$4:$H$10</xm:f>
          </x14:formula1>
          <xm:sqref>C283:X322 C237:X276 C191:W230 C145:Y184 C53:W92 C99:J138 L99:V138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22"/>
  <sheetViews>
    <sheetView rightToLeft="1" workbookViewId="0">
      <selection activeCell="B9" sqref="B9:B40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الشعب'!B5&lt;&gt;"نعم","صفحة غير مفعلة","سجل الفصل الأول – "&amp;'إعداد الشعب'!C5&amp;" – الصف "&amp;'إعداد الشعب'!D5&amp;" – شعبة "&amp;'إعداد الشعب'!E5&amp;" – "&amp;IF('إعداد الشعب'!F5="",الإعدادات!B6,'إعداد الشعب'!F5)))</f>
        <v>⌂ سجل الفصل الأول – إعدادية – الصف 7 – شعبة 2 – الحوسبة وتكنولوجيا المعلومات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 t="str">
        <f>'إعداد الشعب'!C5</f>
        <v>إعدادية</v>
      </c>
      <c r="C2" s="22" t="s">
        <v>99</v>
      </c>
      <c r="D2">
        <f>'إعداد الشعب'!D5</f>
        <v>7</v>
      </c>
      <c r="E2" s="22" t="s">
        <v>100</v>
      </c>
      <c r="F2">
        <f>'إعداد الشعب'!E5</f>
        <v>2</v>
      </c>
      <c r="G2" s="22" t="s">
        <v>101</v>
      </c>
      <c r="H2" t="str">
        <f>IF('إعداد الشعب'!F5="",الإعدادات!B6,'إعداد الشعب'!F5)</f>
        <v>الحوسبة وتكنولوجيا المعلومات</v>
      </c>
      <c r="I2" s="22" t="s">
        <v>102</v>
      </c>
      <c r="J2" t="str">
        <f>IF('إعداد الشعب'!G5="",الإعدادات!B7,'إعداد الشعب'!G5)</f>
        <v>جمال صالح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02'!A50","سبتمبر")</f>
        <v>سبتمبر</v>
      </c>
      <c r="B7" s="73" t="str">
        <f>HYPERLINK("#'شعبة 02'!A96","أكتوبر")</f>
        <v>أكتوبر</v>
      </c>
      <c r="C7" s="73" t="str">
        <f>HYPERLINK("#'شعبة 02'!A142","نوفمبر")</f>
        <v>نوفمبر</v>
      </c>
      <c r="D7" s="73" t="str">
        <f>HYPERLINK("#'شعبة 02'!A188","ديسمبر")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.75" thickBot="1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6.5" thickBot="1">
      <c r="A9" s="8">
        <v>1</v>
      </c>
      <c r="B9" s="78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6.5" thickBot="1">
      <c r="A10" s="11">
        <v>2</v>
      </c>
      <c r="B10" s="79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6.5" thickBot="1">
      <c r="A11" s="11">
        <v>3</v>
      </c>
      <c r="B11" s="79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6.5" thickBot="1">
      <c r="A12" s="11">
        <v>4</v>
      </c>
      <c r="B12" s="79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6.5" thickBot="1">
      <c r="A13" s="11">
        <v>5</v>
      </c>
      <c r="B13" s="79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6.5" thickBot="1">
      <c r="A14" s="11">
        <v>6</v>
      </c>
      <c r="B14" s="79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6.5" thickBot="1">
      <c r="A15" s="11">
        <v>7</v>
      </c>
      <c r="B15" s="79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6.5" thickBot="1">
      <c r="A16" s="11">
        <v>8</v>
      </c>
      <c r="B16" s="79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6.5" thickBot="1">
      <c r="A17" s="11">
        <v>9</v>
      </c>
      <c r="B17" s="79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 ht="16.5" thickBot="1">
      <c r="A18" s="11">
        <v>10</v>
      </c>
      <c r="B18" s="79"/>
      <c r="C18" s="17"/>
      <c r="D18" s="12"/>
    </row>
    <row r="19" spans="1:14" ht="16.5" thickBot="1">
      <c r="A19" s="11">
        <v>11</v>
      </c>
      <c r="B19" s="79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6.5" thickBot="1">
      <c r="A20" s="11">
        <v>12</v>
      </c>
      <c r="B20" s="79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6.5" thickBot="1">
      <c r="A21" s="11">
        <v>13</v>
      </c>
      <c r="B21" s="79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6.5" thickBot="1">
      <c r="A22" s="11">
        <v>14</v>
      </c>
      <c r="B22" s="79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 ht="16.5" thickBot="1">
      <c r="A23" s="11">
        <v>15</v>
      </c>
      <c r="B23" s="79"/>
      <c r="C23" s="17"/>
      <c r="D23" s="12"/>
    </row>
    <row r="24" spans="1:14" ht="26.1" customHeight="1" thickBot="1">
      <c r="A24" s="46">
        <v>16</v>
      </c>
      <c r="B24" s="79"/>
      <c r="C24" s="47"/>
      <c r="D24" s="48"/>
      <c r="E24" s="47"/>
      <c r="F24" s="47"/>
      <c r="G24" s="49"/>
    </row>
    <row r="25" spans="1:14" ht="16.5" thickBot="1">
      <c r="A25" s="11">
        <v>17</v>
      </c>
      <c r="B25" s="79"/>
      <c r="C25" s="17"/>
      <c r="D25" s="12"/>
    </row>
    <row r="26" spans="1:14" ht="16.5" thickBot="1">
      <c r="A26" s="11">
        <v>18</v>
      </c>
      <c r="B26" s="79"/>
      <c r="C26" s="17"/>
      <c r="D26" s="12"/>
    </row>
    <row r="27" spans="1:14" ht="16.5" thickBot="1">
      <c r="A27" s="11">
        <v>19</v>
      </c>
      <c r="B27" s="79"/>
      <c r="C27" s="17"/>
      <c r="D27" s="12"/>
    </row>
    <row r="28" spans="1:14" ht="16.5" thickBot="1">
      <c r="A28" s="11">
        <v>20</v>
      </c>
      <c r="B28" s="79"/>
      <c r="C28" s="17"/>
      <c r="D28" s="12"/>
    </row>
    <row r="29" spans="1:14" ht="16.5" thickBot="1">
      <c r="A29" s="11">
        <v>21</v>
      </c>
      <c r="B29" s="79"/>
      <c r="C29" s="17"/>
      <c r="D29" s="12"/>
    </row>
    <row r="30" spans="1:14" ht="16.5" thickBot="1">
      <c r="A30" s="11">
        <v>22</v>
      </c>
      <c r="B30" s="79"/>
      <c r="C30" s="17"/>
      <c r="D30" s="12"/>
    </row>
    <row r="31" spans="1:14" ht="16.5" thickBot="1">
      <c r="A31" s="11">
        <v>23</v>
      </c>
      <c r="B31" s="79"/>
      <c r="C31" s="17"/>
      <c r="D31" s="12"/>
    </row>
    <row r="32" spans="1:14" ht="16.5" thickBot="1">
      <c r="A32" s="11">
        <v>24</v>
      </c>
      <c r="B32" s="79"/>
      <c r="C32" s="17"/>
      <c r="D32" s="12"/>
    </row>
    <row r="33" spans="1:4" ht="16.5" thickBot="1">
      <c r="A33" s="11">
        <v>25</v>
      </c>
      <c r="B33" s="79"/>
      <c r="C33" s="17"/>
      <c r="D33" s="12"/>
    </row>
    <row r="34" spans="1:4" ht="16.5" thickBot="1">
      <c r="A34" s="11">
        <v>26</v>
      </c>
      <c r="B34" s="79"/>
      <c r="C34" s="17"/>
      <c r="D34" s="12"/>
    </row>
    <row r="35" spans="1:4" ht="16.5" thickBot="1">
      <c r="A35" s="11">
        <v>27</v>
      </c>
      <c r="B35" s="79"/>
      <c r="C35" s="17"/>
      <c r="D35" s="12"/>
    </row>
    <row r="36" spans="1:4" ht="16.5" thickBot="1">
      <c r="A36" s="11">
        <v>28</v>
      </c>
      <c r="B36" s="79"/>
      <c r="C36" s="17"/>
      <c r="D36" s="12"/>
    </row>
    <row r="37" spans="1:4" ht="16.5" thickBot="1">
      <c r="A37" s="11">
        <v>29</v>
      </c>
      <c r="B37" s="79"/>
      <c r="C37" s="17"/>
      <c r="D37" s="12"/>
    </row>
    <row r="38" spans="1:4" ht="16.5" thickBot="1">
      <c r="A38" s="11">
        <v>30</v>
      </c>
      <c r="B38" s="79"/>
      <c r="C38" s="17"/>
      <c r="D38" s="12"/>
    </row>
    <row r="39" spans="1:4" ht="16.5" thickBot="1">
      <c r="A39" s="11">
        <v>31</v>
      </c>
      <c r="B39" s="79"/>
      <c r="C39" s="17"/>
      <c r="D39" s="12"/>
    </row>
    <row r="40" spans="1:4" ht="16.5" thickBot="1">
      <c r="A40" s="11">
        <v>32</v>
      </c>
      <c r="B40" s="79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600-000000000000}">
      <formula1>"نعم,لا"</formula1>
    </dataValidation>
    <dataValidation type="list" allowBlank="1" sqref="G9" xr:uid="{00000000-0002-0000-06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6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6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6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6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6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6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6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6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6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6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6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6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6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6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6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6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6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6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6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6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6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6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6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6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6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6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6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6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6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6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6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6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6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6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6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6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6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6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6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6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6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6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6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6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6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6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6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6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6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6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6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6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6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6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6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6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6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6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6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6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6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6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6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6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6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6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6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6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6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6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6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6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6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322"/>
  <sheetViews>
    <sheetView rightToLeft="1" workbookViewId="0">
      <selection activeCell="B9" sqref="B9:B41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الشعب'!B6&lt;&gt;"نعم","صفحة غير مفعلة","سجل الفصل الأول – "&amp;'إعداد الشعب'!C6&amp;" – الصف "&amp;'إعداد الشعب'!D6&amp;" – شعبة "&amp;'إعداد الشعب'!E6&amp;" – "&amp;IF('إعداد الشعب'!F6="",الإعدادات!B6,'إعداد الشعب'!F6)))</f>
        <v>⌂ سجل الفصل الأول – إعدادية – الصف 7 – شعبة 3 – الحوسبة وتكنولوجيا المعلومات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 t="str">
        <f>'إعداد الشعب'!C6</f>
        <v>إعدادية</v>
      </c>
      <c r="C2" s="22" t="s">
        <v>99</v>
      </c>
      <c r="D2">
        <f>'إعداد الشعب'!D6</f>
        <v>7</v>
      </c>
      <c r="E2" s="22" t="s">
        <v>100</v>
      </c>
      <c r="F2">
        <f>'إعداد الشعب'!E6</f>
        <v>3</v>
      </c>
      <c r="G2" s="22" t="s">
        <v>101</v>
      </c>
      <c r="H2" t="str">
        <f>IF('إعداد الشعب'!F6="",الإعدادات!B6,'إعداد الشعب'!F6)</f>
        <v>الحوسبة وتكنولوجيا المعلومات</v>
      </c>
      <c r="I2" s="22" t="s">
        <v>102</v>
      </c>
      <c r="J2" t="str">
        <f>IF('إعداد الشعب'!G6="",الإعدادات!B7,'إعداد الشعب'!G6)</f>
        <v>جمال صالح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03'!A50","سبتمبر")</f>
        <v>سبتمبر</v>
      </c>
      <c r="B7" s="73" t="str">
        <f>HYPERLINK("#'شعبة 03'!A96","أكتوبر")</f>
        <v>أكتوبر</v>
      </c>
      <c r="C7" s="73" t="str">
        <f>HYPERLINK("#'شعبة 03'!A142","نوفمبر")</f>
        <v>نوفمبر</v>
      </c>
      <c r="D7" s="73" t="str">
        <f>HYPERLINK("#'شعبة 03'!A188","ديسمبر")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.75" thickBot="1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6.5" thickBot="1">
      <c r="A9" s="8">
        <v>1</v>
      </c>
      <c r="B9" s="78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6.5" thickBot="1">
      <c r="A10" s="11">
        <v>2</v>
      </c>
      <c r="B10" s="79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6.5" thickBot="1">
      <c r="A11" s="11">
        <v>3</v>
      </c>
      <c r="B11" s="79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6.5" thickBot="1">
      <c r="A12" s="11">
        <v>4</v>
      </c>
      <c r="B12" s="79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6.5" thickBot="1">
      <c r="A13" s="11">
        <v>5</v>
      </c>
      <c r="B13" s="79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6.5" thickBot="1">
      <c r="A14" s="11">
        <v>6</v>
      </c>
      <c r="B14" s="79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6.5" thickBot="1">
      <c r="A15" s="11">
        <v>7</v>
      </c>
      <c r="B15" s="79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6.5" thickBot="1">
      <c r="A16" s="11">
        <v>8</v>
      </c>
      <c r="B16" s="79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6.5" thickBot="1">
      <c r="A17" s="11">
        <v>9</v>
      </c>
      <c r="B17" s="79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 ht="16.5" thickBot="1">
      <c r="A18" s="11">
        <v>10</v>
      </c>
      <c r="B18" s="79"/>
      <c r="C18" s="17"/>
      <c r="D18" s="12"/>
    </row>
    <row r="19" spans="1:14" ht="16.5" thickBot="1">
      <c r="A19" s="11">
        <v>11</v>
      </c>
      <c r="B19" s="79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6.5" thickBot="1">
      <c r="A20" s="11">
        <v>12</v>
      </c>
      <c r="B20" s="79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6.5" thickBot="1">
      <c r="A21" s="11">
        <v>13</v>
      </c>
      <c r="B21" s="79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6.5" thickBot="1">
      <c r="A22" s="11">
        <v>14</v>
      </c>
      <c r="B22" s="79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 ht="16.5" thickBot="1">
      <c r="A23" s="11">
        <v>15</v>
      </c>
      <c r="B23" s="79"/>
      <c r="C23" s="17"/>
      <c r="D23" s="12"/>
    </row>
    <row r="24" spans="1:14" ht="26.1" customHeight="1" thickBot="1">
      <c r="A24" s="46">
        <v>16</v>
      </c>
      <c r="B24" s="79"/>
      <c r="C24" s="47"/>
      <c r="D24" s="48"/>
      <c r="E24" s="47"/>
      <c r="F24" s="47"/>
      <c r="G24" s="49"/>
    </row>
    <row r="25" spans="1:14" ht="16.5" thickBot="1">
      <c r="A25" s="11">
        <v>17</v>
      </c>
      <c r="B25" s="79"/>
      <c r="C25" s="17"/>
      <c r="D25" s="12"/>
    </row>
    <row r="26" spans="1:14" ht="16.5" thickBot="1">
      <c r="A26" s="11">
        <v>18</v>
      </c>
      <c r="B26" s="79"/>
      <c r="C26" s="17"/>
      <c r="D26" s="12"/>
    </row>
    <row r="27" spans="1:14" ht="16.5" thickBot="1">
      <c r="A27" s="11">
        <v>19</v>
      </c>
      <c r="B27" s="79"/>
      <c r="C27" s="17"/>
      <c r="D27" s="12"/>
    </row>
    <row r="28" spans="1:14" ht="16.5" thickBot="1">
      <c r="A28" s="11">
        <v>20</v>
      </c>
      <c r="B28" s="79"/>
      <c r="C28" s="17"/>
      <c r="D28" s="12"/>
    </row>
    <row r="29" spans="1:14" ht="16.5" thickBot="1">
      <c r="A29" s="11">
        <v>21</v>
      </c>
      <c r="B29" s="79"/>
      <c r="C29" s="17"/>
      <c r="D29" s="12"/>
    </row>
    <row r="30" spans="1:14" ht="16.5" thickBot="1">
      <c r="A30" s="11">
        <v>22</v>
      </c>
      <c r="B30" s="79"/>
      <c r="C30" s="17"/>
      <c r="D30" s="12"/>
    </row>
    <row r="31" spans="1:14" ht="16.5" thickBot="1">
      <c r="A31" s="11">
        <v>23</v>
      </c>
      <c r="B31" s="79"/>
      <c r="C31" s="17"/>
      <c r="D31" s="12"/>
    </row>
    <row r="32" spans="1:14" ht="16.5" thickBot="1">
      <c r="A32" s="11">
        <v>24</v>
      </c>
      <c r="B32" s="79"/>
      <c r="C32" s="17"/>
      <c r="D32" s="12"/>
    </row>
    <row r="33" spans="1:4" ht="16.5" thickBot="1">
      <c r="A33" s="11">
        <v>25</v>
      </c>
      <c r="B33" s="79"/>
      <c r="C33" s="17"/>
      <c r="D33" s="12"/>
    </row>
    <row r="34" spans="1:4" ht="16.5" thickBot="1">
      <c r="A34" s="11">
        <v>26</v>
      </c>
      <c r="B34" s="79"/>
      <c r="C34" s="17"/>
      <c r="D34" s="12"/>
    </row>
    <row r="35" spans="1:4" ht="16.5" thickBot="1">
      <c r="A35" s="11">
        <v>27</v>
      </c>
      <c r="B35" s="79"/>
      <c r="C35" s="17"/>
      <c r="D35" s="12"/>
    </row>
    <row r="36" spans="1:4" ht="16.5" thickBot="1">
      <c r="A36" s="11">
        <v>28</v>
      </c>
      <c r="B36" s="79"/>
      <c r="C36" s="17"/>
      <c r="D36" s="12"/>
    </row>
    <row r="37" spans="1:4" ht="16.5" thickBot="1">
      <c r="A37" s="11">
        <v>29</v>
      </c>
      <c r="B37" s="79"/>
      <c r="C37" s="17"/>
      <c r="D37" s="12"/>
    </row>
    <row r="38" spans="1:4" ht="16.5" thickBot="1">
      <c r="A38" s="11">
        <v>30</v>
      </c>
      <c r="B38" s="79"/>
      <c r="C38" s="17"/>
      <c r="D38" s="12"/>
    </row>
    <row r="39" spans="1:4" ht="16.5" thickBot="1">
      <c r="A39" s="11">
        <v>31</v>
      </c>
      <c r="B39" s="79"/>
      <c r="C39" s="17"/>
      <c r="D39" s="12"/>
    </row>
    <row r="40" spans="1:4" ht="16.5" thickBot="1">
      <c r="A40" s="11">
        <v>32</v>
      </c>
      <c r="B40" s="79"/>
      <c r="C40" s="17"/>
      <c r="D40" s="12"/>
    </row>
    <row r="41" spans="1:4" ht="16.5" thickBot="1">
      <c r="A41" s="11">
        <v>33</v>
      </c>
      <c r="B41" s="79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700-000000000000}">
      <formula1>"نعم,لا"</formula1>
    </dataValidation>
    <dataValidation type="list" allowBlank="1" sqref="G9" xr:uid="{00000000-0002-0000-07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7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7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7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7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7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7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7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7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7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7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7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7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7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7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7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7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7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7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7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7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7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7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7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7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7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7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7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7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7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7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7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7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7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7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7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7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7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7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7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7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7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7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7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7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7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7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7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7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7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7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7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7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7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7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7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7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7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7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7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7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7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7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7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7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7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7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7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7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7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7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7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7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7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322"/>
  <sheetViews>
    <sheetView rightToLeft="1" topLeftCell="A8" zoomScale="70" zoomScaleNormal="70" workbookViewId="0">
      <selection activeCell="B9" sqref="B9:B41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الشعب'!B7&lt;&gt;"نعم","صفحة غير مفعلة","سجل الفصل الأول – "&amp;'إعداد الشعب'!C7&amp;" – الصف "&amp;'إعداد الشعب'!D7&amp;" – شعبة "&amp;'إعداد الشعب'!E7&amp;" – "&amp;IF('إعداد الشعب'!F7="",الإعدادات!B6,'إعداد الشعب'!F7)))</f>
        <v>⌂ سجل الفصل الأول – إعدادية – الصف 7 – شعبة 4 – الحوسبة وتكنولوجيا المعلومات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 t="str">
        <f>'إعداد الشعب'!C7</f>
        <v>إعدادية</v>
      </c>
      <c r="C2" s="22" t="s">
        <v>99</v>
      </c>
      <c r="D2">
        <f>'إعداد الشعب'!D7</f>
        <v>7</v>
      </c>
      <c r="E2" s="22" t="s">
        <v>100</v>
      </c>
      <c r="F2">
        <f>'إعداد الشعب'!E7</f>
        <v>4</v>
      </c>
      <c r="G2" s="22" t="s">
        <v>101</v>
      </c>
      <c r="H2" t="str">
        <f>IF('إعداد الشعب'!F7="",الإعدادات!B6,'إعداد الشعب'!F7)</f>
        <v>الحوسبة وتكنولوجيا المعلومات</v>
      </c>
      <c r="I2" s="22" t="s">
        <v>102</v>
      </c>
      <c r="J2" t="str">
        <f>IF('إعداد الشعب'!G7="",الإعدادات!B7,'إعداد الشعب'!G7)</f>
        <v>جمال صالح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04'!A50","سبتمبر")</f>
        <v>سبتمبر</v>
      </c>
      <c r="B7" s="73" t="str">
        <f>HYPERLINK("#'شعبة 04'!A96","أكتوبر")</f>
        <v>أكتوبر</v>
      </c>
      <c r="C7" s="73" t="str">
        <f>HYPERLINK("#'شعبة 04'!A142","نوفمبر")</f>
        <v>نوفمبر</v>
      </c>
      <c r="D7" s="73" t="str">
        <f>HYPERLINK("#'شعبة 04'!A188","ديسمبر")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.75" thickBot="1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6.5" thickBot="1">
      <c r="A9" s="8">
        <v>1</v>
      </c>
      <c r="B9" s="78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6.5" thickBot="1">
      <c r="A10" s="11">
        <v>2</v>
      </c>
      <c r="B10" s="79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6.5" thickBot="1">
      <c r="A11" s="11">
        <v>3</v>
      </c>
      <c r="B11" s="79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6.5" thickBot="1">
      <c r="A12" s="11">
        <v>4</v>
      </c>
      <c r="B12" s="79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6.5" thickBot="1">
      <c r="A13" s="11">
        <v>5</v>
      </c>
      <c r="B13" s="79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6.5" thickBot="1">
      <c r="A14" s="11">
        <v>6</v>
      </c>
      <c r="B14" s="79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6.5" thickBot="1">
      <c r="A15" s="11">
        <v>7</v>
      </c>
      <c r="B15" s="79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6.5" thickBot="1">
      <c r="A16" s="11">
        <v>8</v>
      </c>
      <c r="B16" s="79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6.5" thickBot="1">
      <c r="A17" s="11">
        <v>9</v>
      </c>
      <c r="B17" s="79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 ht="16.5" thickBot="1">
      <c r="A18" s="11">
        <v>10</v>
      </c>
      <c r="B18" s="79"/>
      <c r="C18" s="17"/>
      <c r="D18" s="12"/>
    </row>
    <row r="19" spans="1:14" ht="16.5" thickBot="1">
      <c r="A19" s="11">
        <v>11</v>
      </c>
      <c r="B19" s="79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6.5" thickBot="1">
      <c r="A20" s="11">
        <v>12</v>
      </c>
      <c r="B20" s="79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6.5" thickBot="1">
      <c r="A21" s="11">
        <v>13</v>
      </c>
      <c r="B21" s="79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6.5" thickBot="1">
      <c r="A22" s="11">
        <v>14</v>
      </c>
      <c r="B22" s="79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 ht="16.5" thickBot="1">
      <c r="A23" s="11">
        <v>15</v>
      </c>
      <c r="B23" s="79"/>
      <c r="C23" s="17"/>
      <c r="D23" s="12"/>
    </row>
    <row r="24" spans="1:14" ht="26.1" customHeight="1" thickBot="1">
      <c r="A24" s="46">
        <v>16</v>
      </c>
      <c r="B24" s="79"/>
      <c r="C24" s="47"/>
      <c r="D24" s="48"/>
      <c r="E24" s="47"/>
      <c r="F24" s="47"/>
      <c r="G24" s="49"/>
    </row>
    <row r="25" spans="1:14" ht="16.5" thickBot="1">
      <c r="A25" s="11">
        <v>17</v>
      </c>
      <c r="B25" s="79"/>
      <c r="C25" s="17"/>
      <c r="D25" s="12"/>
    </row>
    <row r="26" spans="1:14" ht="16.5" thickBot="1">
      <c r="A26" s="11">
        <v>18</v>
      </c>
      <c r="B26" s="79"/>
      <c r="C26" s="17"/>
      <c r="D26" s="12"/>
    </row>
    <row r="27" spans="1:14" ht="16.5" thickBot="1">
      <c r="A27" s="11">
        <v>19</v>
      </c>
      <c r="B27" s="79"/>
      <c r="C27" s="17"/>
      <c r="D27" s="12"/>
    </row>
    <row r="28" spans="1:14" ht="16.5" thickBot="1">
      <c r="A28" s="11">
        <v>20</v>
      </c>
      <c r="B28" s="79"/>
      <c r="C28" s="17"/>
      <c r="D28" s="12"/>
    </row>
    <row r="29" spans="1:14" ht="16.5" thickBot="1">
      <c r="A29" s="11">
        <v>21</v>
      </c>
      <c r="B29" s="79"/>
      <c r="C29" s="17"/>
      <c r="D29" s="12"/>
    </row>
    <row r="30" spans="1:14" ht="16.5" thickBot="1">
      <c r="A30" s="11">
        <v>22</v>
      </c>
      <c r="B30" s="79"/>
      <c r="C30" s="17"/>
      <c r="D30" s="12"/>
    </row>
    <row r="31" spans="1:14" ht="16.5" thickBot="1">
      <c r="A31" s="11">
        <v>23</v>
      </c>
      <c r="B31" s="79"/>
      <c r="C31" s="17"/>
      <c r="D31" s="12"/>
    </row>
    <row r="32" spans="1:14" ht="16.5" thickBot="1">
      <c r="A32" s="11">
        <v>24</v>
      </c>
      <c r="B32" s="79"/>
      <c r="C32" s="17"/>
      <c r="D32" s="12"/>
    </row>
    <row r="33" spans="1:4" ht="16.5" thickBot="1">
      <c r="A33" s="11">
        <v>25</v>
      </c>
      <c r="B33" s="79"/>
      <c r="C33" s="17"/>
      <c r="D33" s="12"/>
    </row>
    <row r="34" spans="1:4" ht="16.5" thickBot="1">
      <c r="A34" s="11">
        <v>26</v>
      </c>
      <c r="B34" s="79"/>
      <c r="C34" s="17"/>
      <c r="D34" s="12"/>
    </row>
    <row r="35" spans="1:4" ht="16.5" thickBot="1">
      <c r="A35" s="11">
        <v>27</v>
      </c>
      <c r="B35" s="79"/>
      <c r="C35" s="17"/>
      <c r="D35" s="12"/>
    </row>
    <row r="36" spans="1:4" ht="16.5" thickBot="1">
      <c r="A36" s="11">
        <v>28</v>
      </c>
      <c r="B36" s="79"/>
      <c r="C36" s="17"/>
      <c r="D36" s="12"/>
    </row>
    <row r="37" spans="1:4" ht="16.5" thickBot="1">
      <c r="A37" s="11">
        <v>29</v>
      </c>
      <c r="B37" s="79"/>
      <c r="C37" s="17"/>
      <c r="D37" s="12"/>
    </row>
    <row r="38" spans="1:4" ht="16.5" thickBot="1">
      <c r="A38" s="11">
        <v>30</v>
      </c>
      <c r="B38" s="79"/>
      <c r="C38" s="17"/>
      <c r="D38" s="12"/>
    </row>
    <row r="39" spans="1:4" ht="16.5" thickBot="1">
      <c r="A39" s="11">
        <v>31</v>
      </c>
      <c r="B39" s="79"/>
      <c r="C39" s="17"/>
      <c r="D39" s="12"/>
    </row>
    <row r="40" spans="1:4" ht="16.5" thickBot="1">
      <c r="A40" s="11">
        <v>32</v>
      </c>
      <c r="B40" s="79"/>
      <c r="C40" s="17"/>
      <c r="D40" s="12"/>
    </row>
    <row r="41" spans="1:4" ht="16.5" thickBot="1">
      <c r="A41" s="11">
        <v>33</v>
      </c>
      <c r="B41" s="79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 t="s">
        <v>29</v>
      </c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O54" t="s">
        <v>29</v>
      </c>
      <c r="Q54" t="s">
        <v>52</v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O57" t="s">
        <v>29</v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O63" t="s">
        <v>29</v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O66" t="s">
        <v>29</v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Q68" t="s">
        <v>39</v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O72" t="s">
        <v>29</v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O77" t="s">
        <v>29</v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O78" t="s">
        <v>39</v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O80" t="s">
        <v>29</v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800-000000000000}">
      <formula1>"نعم,لا"</formula1>
    </dataValidation>
    <dataValidation type="list" allowBlank="1" sqref="G9" xr:uid="{00000000-0002-0000-08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8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8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8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8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8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8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8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8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8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8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8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8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8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8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8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8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8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8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8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8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8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8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8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8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8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8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8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8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8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8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8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8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8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8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8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8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8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8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8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8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8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8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8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8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8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8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8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8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8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8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8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8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8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8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8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8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8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8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8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8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8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8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8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8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8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8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8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8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8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8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8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8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8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322"/>
  <sheetViews>
    <sheetView rightToLeft="1" workbookViewId="0">
      <selection activeCell="B9" sqref="B9:B41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الشعب'!B8&lt;&gt;"نعم","صفحة غير مفعلة","سجل الفصل الأول – "&amp;'إعداد الشعب'!C8&amp;" – الصف "&amp;'إعداد الشعب'!D8&amp;" – شعبة "&amp;'إعداد الشعب'!E8&amp;" – "&amp;IF('إعداد الشعب'!F8="",الإعدادات!B6,'إعداد الشعب'!F8)))</f>
        <v>⌂ سجل الفصل الأول – إعدادية – الصف 8 – شعبة 1 – الحوسبة وتكنولوجيا المعلومات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 t="str">
        <f>'إعداد الشعب'!C8</f>
        <v>إعدادية</v>
      </c>
      <c r="C2" s="22" t="s">
        <v>99</v>
      </c>
      <c r="D2">
        <f>'إعداد الشعب'!D8</f>
        <v>8</v>
      </c>
      <c r="E2" s="22" t="s">
        <v>100</v>
      </c>
      <c r="F2">
        <f>'إعداد الشعب'!E8</f>
        <v>1</v>
      </c>
      <c r="G2" s="22" t="s">
        <v>101</v>
      </c>
      <c r="H2" t="str">
        <f>IF('إعداد الشعب'!F8="",الإعدادات!B6,'إعداد الشعب'!F8)</f>
        <v>الحوسبة وتكنولوجيا المعلومات</v>
      </c>
      <c r="I2" s="22" t="s">
        <v>102</v>
      </c>
      <c r="J2" t="str">
        <f>IF('إعداد الشعب'!G8="",الإعدادات!B7,'إعداد الشعب'!G8)</f>
        <v>جمال صالح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05'!A50","سبتمبر")</f>
        <v>سبتمبر</v>
      </c>
      <c r="B7" s="73" t="str">
        <f>HYPERLINK("#'شعبة 05'!A96","أكتوبر")</f>
        <v>أكتوبر</v>
      </c>
      <c r="C7" s="73" t="str">
        <f>HYPERLINK("#'شعبة 05'!A142","نوفمبر")</f>
        <v>نوفمبر</v>
      </c>
      <c r="D7" s="73" t="str">
        <f>HYPERLINK("#'شعبة 05'!A188","ديسمبر")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.75" thickBot="1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6.5" thickBot="1">
      <c r="A9" s="8">
        <v>1</v>
      </c>
      <c r="B9" s="78"/>
      <c r="C9" s="16"/>
      <c r="D9" s="10"/>
      <c r="F9" s="61" t="s">
        <v>120</v>
      </c>
      <c r="G9" s="89" t="s">
        <v>211</v>
      </c>
      <c r="H9" s="89"/>
      <c r="I9" s="89"/>
      <c r="J9" s="89"/>
      <c r="K9" s="89"/>
      <c r="L9" s="89"/>
    </row>
    <row r="10" spans="1:33" ht="16.5" thickBot="1">
      <c r="A10" s="11">
        <v>2</v>
      </c>
      <c r="B10" s="79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6.5" thickBot="1">
      <c r="A11" s="11">
        <v>3</v>
      </c>
      <c r="B11" s="79"/>
      <c r="C11" s="17"/>
      <c r="D11" s="12"/>
      <c r="F11" s="69" t="str">
        <f>الإعدادات!H4</f>
        <v>كتاب</v>
      </c>
      <c r="G11" s="9">
        <f>IF($G$9="","",SUMIF($B$53:$B$92,$G$9,$Y$53:$Y$92))</f>
        <v>0</v>
      </c>
      <c r="H11" s="9">
        <f>IF($G$9="","",SUMIF($B$99:$B$138,$G$9,$S$99:$S$138))</f>
        <v>0</v>
      </c>
      <c r="I11" s="9">
        <f>IF($G$9="","",SUMIF($B$145:$B$184,$G$9,$Y$145:$Y$184))</f>
        <v>0</v>
      </c>
      <c r="J11" s="9">
        <f>IF($G$9="","",SUMIF($B$191:$B$230,$G$9,$P$191:$P$230))</f>
        <v>0</v>
      </c>
      <c r="K11" s="10">
        <f t="shared" ref="K11:K17" si="0">SUM(G11:J11)</f>
        <v>0</v>
      </c>
      <c r="L11" s="9"/>
      <c r="M11" s="10"/>
    </row>
    <row r="12" spans="1:33" ht="16.5" thickBot="1">
      <c r="A12" s="11">
        <v>4</v>
      </c>
      <c r="B12" s="79"/>
      <c r="C12" s="17"/>
      <c r="D12" s="12"/>
      <c r="F12" s="70" t="str">
        <f>الإعدادات!H5</f>
        <v>نوم</v>
      </c>
      <c r="G12">
        <f>IF($G$9="","",SUMIF($B$53:$B$92,$G$9,$Z$53:$Z$92))</f>
        <v>0</v>
      </c>
      <c r="H12">
        <f>IF($G$9="","",SUMIF($B$99:$B$138,$G$9,$T$99:$T$138))</f>
        <v>0</v>
      </c>
      <c r="I12">
        <f>IF($G$9="","",SUMIF($B$145:$B$184,$G$9,$Z$145:$Z$184))</f>
        <v>0</v>
      </c>
      <c r="J12">
        <f>IF($G$9="","",SUMIF($B$191:$B$230,$G$9,$Q$191:$Q$230))</f>
        <v>0</v>
      </c>
      <c r="K12" s="12">
        <f t="shared" si="0"/>
        <v>0</v>
      </c>
      <c r="M12" s="12"/>
    </row>
    <row r="13" spans="1:33" ht="16.5" thickBot="1">
      <c r="A13" s="11">
        <v>5</v>
      </c>
      <c r="B13" s="80"/>
      <c r="C13" s="17"/>
      <c r="D13" s="12"/>
      <c r="F13" s="70" t="str">
        <f>الإعدادات!H6</f>
        <v>سلوك</v>
      </c>
      <c r="G13">
        <f>IF($G$9="","",SUMIF($B$53:$B$92,$G$9,$AA$53:$AA$92))</f>
        <v>0</v>
      </c>
      <c r="H13">
        <f>IF($G$9="","",SUMIF($B$99:$B$138,$G$9,$U$99:$U$138))</f>
        <v>0</v>
      </c>
      <c r="I13">
        <f>IF($G$9="","",SUMIF($B$145:$B$184,$G$9,$AA$145:$AA$184))</f>
        <v>0</v>
      </c>
      <c r="J13">
        <f>IF($G$9="","",SUMIF($B$191:$B$230,$G$9,$R$191:$R$230))</f>
        <v>0</v>
      </c>
      <c r="K13" s="12">
        <f t="shared" si="0"/>
        <v>0</v>
      </c>
      <c r="M13" s="12"/>
    </row>
    <row r="14" spans="1:33" ht="16.5" thickBot="1">
      <c r="A14" s="11">
        <v>6</v>
      </c>
      <c r="B14" s="79"/>
      <c r="C14" s="17"/>
      <c r="D14" s="12"/>
      <c r="F14" s="70" t="str">
        <f>الإعدادات!H7</f>
        <v>غياب</v>
      </c>
      <c r="G14">
        <f>IF($G$9="","",SUMIF($B$53:$B$92,$G$9,$AB$53:$AB$92))</f>
        <v>0</v>
      </c>
      <c r="H14">
        <f>IF($G$9="","",SUMIF($B$99:$B$138,$G$9,$V$99:$V$138))</f>
        <v>0</v>
      </c>
      <c r="I14">
        <f>IF($G$9="","",SUMIF($B$145:$B$184,$G$9,$AB$145:$AB$184))</f>
        <v>0</v>
      </c>
      <c r="J14">
        <f>IF($G$9="","",SUMIF($B$191:$B$230,$G$9,$S$191:$S$230))</f>
        <v>0</v>
      </c>
      <c r="K14" s="12">
        <f t="shared" si="0"/>
        <v>0</v>
      </c>
      <c r="M14" s="12"/>
    </row>
    <row r="15" spans="1:33" ht="16.5" thickBot="1">
      <c r="A15" s="11">
        <v>7</v>
      </c>
      <c r="B15" s="80"/>
      <c r="C15" s="17"/>
      <c r="D15" s="12"/>
      <c r="F15" s="70" t="str">
        <f>الإعدادات!H8</f>
        <v>تأخر</v>
      </c>
      <c r="G15">
        <f>IF($G$9="","",SUMIF($B$53:$B$92,$G$9,$AC$53:$AC$92))</f>
        <v>0</v>
      </c>
      <c r="H15">
        <f>IF($G$9="","",SUMIF($B$99:$B$138,$G$9,$W$99:$W$138))</f>
        <v>0</v>
      </c>
      <c r="I15">
        <f>IF($G$9="","",SUMIF($B$145:$B$184,$G$9,$AC$145:$AC$184))</f>
        <v>0</v>
      </c>
      <c r="J15">
        <f>IF($G$9="","",SUMIF($B$191:$B$230,$G$9,$T$191:$T$230))</f>
        <v>0</v>
      </c>
      <c r="K15" s="12">
        <f t="shared" si="0"/>
        <v>0</v>
      </c>
      <c r="M15" s="12"/>
    </row>
    <row r="16" spans="1:33" ht="16.5" thickBot="1">
      <c r="A16" s="11">
        <v>8</v>
      </c>
      <c r="B16" s="81"/>
      <c r="C16" s="17"/>
      <c r="D16" s="12"/>
      <c r="F16" s="70" t="str">
        <f>الإعدادات!H9</f>
        <v>حل الواجبات</v>
      </c>
      <c r="G16">
        <f>IF($G$9="","",SUMIF($B$53:$B$92,$G$9,$AD$53:$AD$92))</f>
        <v>0</v>
      </c>
      <c r="H16">
        <f>IF($G$9="","",SUMIF($B$99:$B$138,$G$9,$X$99:$X$138))</f>
        <v>0</v>
      </c>
      <c r="I16">
        <f>IF($G$9="","",SUMIF($B$145:$B$184,$G$9,$AD$145:$AD$184))</f>
        <v>0</v>
      </c>
      <c r="J16">
        <f>IF($G$9="","",SUMIF($B$191:$B$230,$G$9,$U$191:$U$230))</f>
        <v>0</v>
      </c>
      <c r="K16" s="12">
        <f t="shared" si="0"/>
        <v>0</v>
      </c>
      <c r="M16" s="12"/>
    </row>
    <row r="17" spans="1:14" ht="16.5" thickBot="1">
      <c r="A17" s="11">
        <v>9</v>
      </c>
      <c r="B17" s="79"/>
      <c r="C17" s="17"/>
      <c r="D17" s="12"/>
      <c r="F17" s="71" t="str">
        <f>الإعدادات!H10</f>
        <v>تميز ★</v>
      </c>
      <c r="G17" s="14">
        <f>IF($G$9="","",SUMIF($B$53:$B$92,$G$9,$AE$53:$AE$92))</f>
        <v>0</v>
      </c>
      <c r="H17" s="14">
        <f>IF($G$9="","",SUMIF($B$99:$B$138,$G$9,$Y$99:$Y$138))</f>
        <v>0</v>
      </c>
      <c r="I17" s="14">
        <f>IF($G$9="","",SUMIF($B$145:$B$184,$G$9,$AE$145:$AE$184))</f>
        <v>0</v>
      </c>
      <c r="J17" s="14">
        <f>IF($G$9="","",SUMIF($B$191:$B$230,$G$9,$V$191:$V$230))</f>
        <v>0</v>
      </c>
      <c r="K17" s="15">
        <f t="shared" si="0"/>
        <v>0</v>
      </c>
      <c r="L17" s="14"/>
      <c r="M17" s="15"/>
    </row>
    <row r="18" spans="1:14" ht="16.5" thickBot="1">
      <c r="A18" s="11">
        <v>10</v>
      </c>
      <c r="B18" s="79"/>
      <c r="C18" s="17"/>
      <c r="D18" s="12"/>
    </row>
    <row r="19" spans="1:14" ht="16.5" thickBot="1">
      <c r="A19" s="11">
        <v>11</v>
      </c>
      <c r="B19" s="79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6.5" thickBot="1">
      <c r="A20" s="11">
        <v>12</v>
      </c>
      <c r="B20" s="79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6.5" thickBot="1">
      <c r="A21" s="11">
        <v>13</v>
      </c>
      <c r="B21" s="79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6.5" thickBot="1">
      <c r="A22" s="11">
        <v>14</v>
      </c>
      <c r="B22" s="81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 ht="16.5" thickBot="1">
      <c r="A23" s="11">
        <v>15</v>
      </c>
      <c r="B23" s="79"/>
      <c r="C23" s="17"/>
      <c r="D23" s="12"/>
    </row>
    <row r="24" spans="1:14" ht="26.1" customHeight="1" thickBot="1">
      <c r="A24" s="46">
        <v>16</v>
      </c>
      <c r="B24" s="79"/>
      <c r="C24" s="47"/>
      <c r="D24" s="48"/>
      <c r="E24" s="47"/>
      <c r="F24" s="47"/>
      <c r="G24" s="49"/>
    </row>
    <row r="25" spans="1:14" ht="16.5" thickBot="1">
      <c r="A25" s="11">
        <v>17</v>
      </c>
      <c r="B25" s="79"/>
      <c r="C25" s="17"/>
      <c r="D25" s="12"/>
    </row>
    <row r="26" spans="1:14" ht="16.5" thickBot="1">
      <c r="A26" s="11">
        <v>18</v>
      </c>
      <c r="B26" s="79"/>
      <c r="C26" s="17"/>
      <c r="D26" s="12"/>
    </row>
    <row r="27" spans="1:14" ht="16.5" thickBot="1">
      <c r="A27" s="11">
        <v>19</v>
      </c>
      <c r="B27" s="79"/>
      <c r="C27" s="17"/>
      <c r="D27" s="12"/>
    </row>
    <row r="28" spans="1:14" ht="16.5" thickBot="1">
      <c r="A28" s="11">
        <v>20</v>
      </c>
      <c r="B28" s="79"/>
      <c r="C28" s="17"/>
      <c r="D28" s="12"/>
    </row>
    <row r="29" spans="1:14" ht="16.5" thickBot="1">
      <c r="A29" s="11">
        <v>21</v>
      </c>
      <c r="B29" s="79"/>
      <c r="C29" s="17"/>
      <c r="D29" s="12"/>
    </row>
    <row r="30" spans="1:14" ht="16.5" thickBot="1">
      <c r="A30" s="11">
        <v>22</v>
      </c>
      <c r="B30" s="81"/>
      <c r="C30" s="17"/>
      <c r="D30" s="12"/>
    </row>
    <row r="31" spans="1:14" ht="16.5" thickBot="1">
      <c r="A31" s="11">
        <v>23</v>
      </c>
      <c r="B31" s="79"/>
      <c r="C31" s="17"/>
      <c r="D31" s="12"/>
    </row>
    <row r="32" spans="1:14" ht="16.5" thickBot="1">
      <c r="A32" s="11">
        <v>24</v>
      </c>
      <c r="B32" s="81"/>
      <c r="C32" s="17"/>
      <c r="D32" s="12"/>
    </row>
    <row r="33" spans="1:4" ht="16.5" thickBot="1">
      <c r="A33" s="11">
        <v>25</v>
      </c>
      <c r="B33" s="79"/>
      <c r="C33" s="17"/>
      <c r="D33" s="12"/>
    </row>
    <row r="34" spans="1:4" ht="16.5" thickBot="1">
      <c r="A34" s="11">
        <v>26</v>
      </c>
      <c r="B34" s="79"/>
      <c r="C34" s="17"/>
      <c r="D34" s="12"/>
    </row>
    <row r="35" spans="1:4" ht="16.5" thickBot="1">
      <c r="A35" s="11">
        <v>27</v>
      </c>
      <c r="B35" s="81"/>
      <c r="C35" s="17"/>
      <c r="D35" s="12"/>
    </row>
    <row r="36" spans="1:4" ht="16.5" thickBot="1">
      <c r="A36" s="11">
        <v>28</v>
      </c>
      <c r="B36" s="80"/>
      <c r="C36" s="17"/>
      <c r="D36" s="12"/>
    </row>
    <row r="37" spans="1:4" ht="16.5" thickBot="1">
      <c r="A37" s="11">
        <v>29</v>
      </c>
      <c r="B37" s="79"/>
      <c r="C37" s="17"/>
      <c r="D37" s="12"/>
    </row>
    <row r="38" spans="1:4" ht="16.5" thickBot="1">
      <c r="A38" s="11">
        <v>30</v>
      </c>
      <c r="B38" s="79"/>
      <c r="C38" s="17"/>
      <c r="D38" s="12"/>
    </row>
    <row r="39" spans="1:4" ht="16.5" thickBot="1">
      <c r="A39" s="11">
        <v>31</v>
      </c>
      <c r="B39" s="79"/>
      <c r="C39" s="17"/>
      <c r="D39" s="12"/>
    </row>
    <row r="40" spans="1:4" ht="16.5" thickBot="1">
      <c r="A40" s="11">
        <v>32</v>
      </c>
      <c r="B40" s="79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K60" t="s">
        <v>39</v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K64" t="s">
        <v>39</v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K79" t="s">
        <v>39</v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K81" t="s">
        <v>39</v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K82" t="s">
        <v>39</v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900-000000000000}">
      <formula1>"نعم,لا"</formula1>
    </dataValidation>
    <dataValidation type="list" allowBlank="1" sqref="G9" xr:uid="{00000000-0002-0000-09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9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9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9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9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9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9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9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9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9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9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9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9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9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9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9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9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9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9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9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9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9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9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9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9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9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9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9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9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9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9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9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9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9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9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9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9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9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9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9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9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9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9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9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9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9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9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9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9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9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9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9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9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9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9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9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9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9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9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9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9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9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9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9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9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9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9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9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9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9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9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9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9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9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322"/>
  <sheetViews>
    <sheetView rightToLeft="1" workbookViewId="0">
      <selection activeCell="B9" sqref="B9:B36"/>
    </sheetView>
  </sheetViews>
  <sheetFormatPr defaultRowHeight="14.25"/>
  <cols>
    <col min="1" max="1" width="7" customWidth="1"/>
    <col min="2" max="2" width="27.875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الشعب'!B9&lt;&gt;"نعم","صفحة غير مفعلة","سجل الفصل الأول – "&amp;'إعداد الشعب'!C9&amp;" – الصف "&amp;'إعداد الشعب'!D9&amp;" – شعبة "&amp;'إعداد الشعب'!E9&amp;" – "&amp;IF('إعداد الشعب'!F9="",الإعدادات!B6,'إعداد الشعب'!F9)))</f>
        <v>⌂ سجل الفصل الأول – إعدادية – الصف 8 – شعبة 2 – الحوسبة وتكنولوجيا المعلومات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 t="str">
        <f>'إعداد الشعب'!C9</f>
        <v>إعدادية</v>
      </c>
      <c r="C2" s="22" t="s">
        <v>99</v>
      </c>
      <c r="D2">
        <f>'إعداد الشعب'!D9</f>
        <v>8</v>
      </c>
      <c r="E2" s="22" t="s">
        <v>100</v>
      </c>
      <c r="F2">
        <f>'إعداد الشعب'!E9</f>
        <v>2</v>
      </c>
      <c r="G2" s="22" t="s">
        <v>101</v>
      </c>
      <c r="H2" t="str">
        <f>IF('إعداد الشعب'!F9="",الإعدادات!B6,'إعداد الشعب'!F9)</f>
        <v>الحوسبة وتكنولوجيا المعلومات</v>
      </c>
      <c r="I2" s="22" t="s">
        <v>102</v>
      </c>
      <c r="J2" t="str">
        <f>IF('إعداد الشعب'!G9="",الإعدادات!B7,'إعداد الشعب'!G9)</f>
        <v>جمال صالح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9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5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06'!A50","سبتمبر")</f>
        <v>سبتمبر</v>
      </c>
      <c r="B7" s="73" t="str">
        <f>HYPERLINK("#'شعبة 06'!A96","أكتوبر")</f>
        <v>أكتوبر</v>
      </c>
      <c r="C7" s="73" t="str">
        <f>HYPERLINK("#'شعبة 06'!A142","نوفمبر")</f>
        <v>نوفمبر</v>
      </c>
      <c r="D7" s="73" t="str">
        <f>HYPERLINK("#'شعبة 06'!A188","ديسمبر")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.75" thickBot="1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9.5" thickBot="1">
      <c r="A9" s="8">
        <v>1</v>
      </c>
      <c r="B9" s="82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9.5" thickBot="1">
      <c r="A10" s="11">
        <v>2</v>
      </c>
      <c r="B10" s="83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9.5" thickBot="1">
      <c r="A11" s="11">
        <v>3</v>
      </c>
      <c r="B11" s="84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9.5" thickBot="1">
      <c r="A12" s="11">
        <v>4</v>
      </c>
      <c r="B12" s="84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9.5" thickBot="1">
      <c r="A13" s="11">
        <v>5</v>
      </c>
      <c r="B13" s="83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9.5" thickBot="1">
      <c r="A14" s="11">
        <v>6</v>
      </c>
      <c r="B14" s="84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9.5" thickBot="1">
      <c r="A15" s="11">
        <v>7</v>
      </c>
      <c r="B15" s="83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9.5" thickBot="1">
      <c r="A16" s="11">
        <v>8</v>
      </c>
      <c r="B16" s="84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9.5" thickBot="1">
      <c r="A17" s="11">
        <v>9</v>
      </c>
      <c r="B17" s="84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 ht="19.5" thickBot="1">
      <c r="A18" s="11">
        <v>10</v>
      </c>
      <c r="B18" s="84"/>
      <c r="C18" s="17"/>
      <c r="D18" s="12"/>
    </row>
    <row r="19" spans="1:14" ht="19.5" thickBot="1">
      <c r="A19" s="11">
        <v>11</v>
      </c>
      <c r="B19" s="84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9.5" thickBot="1">
      <c r="A20" s="11">
        <v>12</v>
      </c>
      <c r="B20" s="84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9.5" thickBot="1">
      <c r="A21" s="11">
        <v>13</v>
      </c>
      <c r="B21" s="84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9.5" thickBot="1">
      <c r="A22" s="11">
        <v>14</v>
      </c>
      <c r="B22" s="84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 ht="19.5" thickBot="1">
      <c r="A23" s="11">
        <v>15</v>
      </c>
      <c r="B23" s="84"/>
      <c r="C23" s="17"/>
      <c r="D23" s="12"/>
    </row>
    <row r="24" spans="1:14" ht="26.1" customHeight="1" thickBot="1">
      <c r="A24" s="46">
        <v>16</v>
      </c>
      <c r="B24" s="84"/>
      <c r="C24" s="47"/>
      <c r="D24" s="48"/>
      <c r="E24" s="47"/>
      <c r="F24" s="47"/>
      <c r="G24" s="49"/>
    </row>
    <row r="25" spans="1:14" ht="19.5" thickBot="1">
      <c r="A25" s="11">
        <v>17</v>
      </c>
      <c r="B25" s="85"/>
      <c r="C25" s="17"/>
      <c r="D25" s="12"/>
    </row>
    <row r="26" spans="1:14" ht="19.5" thickBot="1">
      <c r="A26" s="11">
        <v>18</v>
      </c>
      <c r="B26" s="84"/>
      <c r="C26" s="17"/>
      <c r="D26" s="12"/>
    </row>
    <row r="27" spans="1:14" ht="19.5" thickBot="1">
      <c r="A27" s="11">
        <v>19</v>
      </c>
      <c r="B27" s="84"/>
      <c r="C27" s="17"/>
      <c r="D27" s="12"/>
    </row>
    <row r="28" spans="1:14" ht="19.5" thickBot="1">
      <c r="A28" s="11">
        <v>20</v>
      </c>
      <c r="B28" s="85"/>
      <c r="C28" s="17"/>
      <c r="D28" s="12"/>
    </row>
    <row r="29" spans="1:14" ht="19.5" thickBot="1">
      <c r="A29" s="11">
        <v>21</v>
      </c>
      <c r="B29" s="84"/>
      <c r="C29" s="17"/>
      <c r="D29" s="12"/>
    </row>
    <row r="30" spans="1:14" ht="19.5" thickBot="1">
      <c r="A30" s="11">
        <v>22</v>
      </c>
      <c r="B30" s="84"/>
      <c r="C30" s="17"/>
      <c r="D30" s="12"/>
    </row>
    <row r="31" spans="1:14" ht="19.5" thickBot="1">
      <c r="A31" s="11">
        <v>23</v>
      </c>
      <c r="B31" s="84"/>
      <c r="C31" s="17"/>
      <c r="D31" s="12"/>
    </row>
    <row r="32" spans="1:14" ht="19.5" thickBot="1">
      <c r="A32" s="11">
        <v>24</v>
      </c>
      <c r="B32" s="84"/>
      <c r="C32" s="17"/>
      <c r="D32" s="12"/>
    </row>
    <row r="33" spans="1:4" ht="19.5" thickBot="1">
      <c r="A33" s="11">
        <v>25</v>
      </c>
      <c r="B33" s="84"/>
      <c r="C33" s="17"/>
      <c r="D33" s="12"/>
    </row>
    <row r="34" spans="1:4" ht="19.5" thickBot="1">
      <c r="A34" s="11">
        <v>26</v>
      </c>
      <c r="B34" s="84"/>
      <c r="C34" s="17"/>
      <c r="D34" s="12"/>
    </row>
    <row r="35" spans="1:4" ht="19.5" thickBot="1">
      <c r="A35" s="11">
        <v>27</v>
      </c>
      <c r="B35" s="84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 ht="15">
      <c r="A53" s="8" t="str">
        <f>IF(OR($B$9="",$C$9="لا"),"",$A$9)</f>
        <v/>
      </c>
      <c r="B53" s="86" t="s">
        <v>212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>
        <f>IF($B53="","",COUNTIF($C53:$X53,الإعدادات!$H$4))</f>
        <v>0</v>
      </c>
      <c r="Z53" s="63">
        <f>IF($B53="","",COUNTIF($C53:$X53,الإعدادات!$H$5))</f>
        <v>0</v>
      </c>
      <c r="AA53" s="63">
        <f>IF($B53="","",COUNTIF($C53:$X53,الإعدادات!$H$6))</f>
        <v>0</v>
      </c>
      <c r="AB53" s="63">
        <f>IF($B53="","",COUNTIF($C53:$X53,الإعدادات!$H$7))</f>
        <v>0</v>
      </c>
      <c r="AC53" s="63">
        <f>IF($B53="","",COUNTIF($C53:$X53,الإعدادات!$H$8))</f>
        <v>0</v>
      </c>
      <c r="AD53" s="63">
        <f>IF($B53="","",COUNTIF($C53:$X53,الإعدادات!$H$9))</f>
        <v>0</v>
      </c>
      <c r="AE53" s="64">
        <f>IF($B53="","",COUNTIF($C53:$X53,الإعدادات!$H$10))</f>
        <v>0</v>
      </c>
      <c r="AF53" s="64">
        <f t="shared" ref="AF53:AF92" si="1">IF($B53="","",SUM(Y53:AC53))</f>
        <v>0</v>
      </c>
    </row>
    <row r="54" spans="1:32" ht="15">
      <c r="A54" s="11" t="str">
        <f>IF(OR($B$10="",$C$10="لا"),"",$A$10)</f>
        <v/>
      </c>
      <c r="B54" s="86" t="s">
        <v>239</v>
      </c>
      <c r="M54" t="s">
        <v>52</v>
      </c>
      <c r="X54" s="30"/>
      <c r="Y54" s="65">
        <f>IF($B54="","",COUNTIF($C54:$X54,الإعدادات!$H$4))</f>
        <v>0</v>
      </c>
      <c r="Z54" s="65">
        <f>IF($B54="","",COUNTIF($C54:$X54,الإعدادات!$H$5))</f>
        <v>0</v>
      </c>
      <c r="AA54" s="65">
        <f>IF($B54="","",COUNTIF($C54:$X54,الإعدادات!$H$6))</f>
        <v>0</v>
      </c>
      <c r="AB54" s="65">
        <f>IF($B54="","",COUNTIF($C54:$X54,الإعدادات!$H$7))</f>
        <v>0</v>
      </c>
      <c r="AC54" s="65">
        <f>IF($B54="","",COUNTIF($C54:$X54,الإعدادات!$H$8))</f>
        <v>0</v>
      </c>
      <c r="AD54" s="65">
        <f>IF($B54="","",COUNTIF($C54:$X54,الإعدادات!$H$9))</f>
        <v>0</v>
      </c>
      <c r="AE54" s="66">
        <f>IF($B54="","",COUNTIF($C54:$X54,الإعدادات!$H$10))</f>
        <v>1</v>
      </c>
      <c r="AF54" s="66">
        <f t="shared" si="1"/>
        <v>0</v>
      </c>
    </row>
    <row r="55" spans="1:32" ht="15">
      <c r="A55" s="11" t="str">
        <f>IF(OR($B$11="",$C$11="لا"),"",$A$11)</f>
        <v/>
      </c>
      <c r="B55" s="86" t="s">
        <v>213</v>
      </c>
      <c r="X55" s="30"/>
      <c r="Y55" s="65">
        <f>IF($B55="","",COUNTIF($C55:$X55,الإعدادات!$H$4))</f>
        <v>0</v>
      </c>
      <c r="Z55" s="65">
        <f>IF($B55="","",COUNTIF($C55:$X55,الإعدادات!$H$5))</f>
        <v>0</v>
      </c>
      <c r="AA55" s="65">
        <f>IF($B55="","",COUNTIF($C55:$X55,الإعدادات!$H$6))</f>
        <v>0</v>
      </c>
      <c r="AB55" s="65">
        <f>IF($B55="","",COUNTIF($C55:$X55,الإعدادات!$H$7))</f>
        <v>0</v>
      </c>
      <c r="AC55" s="65">
        <f>IF($B55="","",COUNTIF($C55:$X55,الإعدادات!$H$8))</f>
        <v>0</v>
      </c>
      <c r="AD55" s="65">
        <f>IF($B55="","",COUNTIF($C55:$X55,الإعدادات!$H$9))</f>
        <v>0</v>
      </c>
      <c r="AE55" s="66">
        <f>IF($B55="","",COUNTIF($C55:$X55,الإعدادات!$H$10))</f>
        <v>0</v>
      </c>
      <c r="AF55" s="66">
        <f t="shared" si="1"/>
        <v>0</v>
      </c>
    </row>
    <row r="56" spans="1:32" ht="15">
      <c r="A56" s="11" t="str">
        <f>IF(OR($B$12="",$C$12="لا"),"",$A$12)</f>
        <v/>
      </c>
      <c r="B56" s="86" t="s">
        <v>214</v>
      </c>
      <c r="L56" t="s">
        <v>39</v>
      </c>
      <c r="X56" s="30"/>
      <c r="Y56" s="65">
        <f>IF($B56="","",COUNTIF($C56:$X56,الإعدادات!$H$4))</f>
        <v>0</v>
      </c>
      <c r="Z56" s="65">
        <f>IF($B56="","",COUNTIF($C56:$X56,الإعدادات!$H$5))</f>
        <v>0</v>
      </c>
      <c r="AA56" s="65">
        <f>IF($B56="","",COUNTIF($C56:$X56,الإعدادات!$H$6))</f>
        <v>1</v>
      </c>
      <c r="AB56" s="65">
        <f>IF($B56="","",COUNTIF($C56:$X56,الإعدادات!$H$7))</f>
        <v>0</v>
      </c>
      <c r="AC56" s="65">
        <f>IF($B56="","",COUNTIF($C56:$X56,الإعدادات!$H$8))</f>
        <v>0</v>
      </c>
      <c r="AD56" s="65">
        <f>IF($B56="","",COUNTIF($C56:$X56,الإعدادات!$H$9))</f>
        <v>0</v>
      </c>
      <c r="AE56" s="66">
        <f>IF($B56="","",COUNTIF($C56:$X56,الإعدادات!$H$10))</f>
        <v>0</v>
      </c>
      <c r="AF56" s="66">
        <f t="shared" si="1"/>
        <v>1</v>
      </c>
    </row>
    <row r="57" spans="1:32" ht="15">
      <c r="A57" s="11" t="str">
        <f>IF(OR($B$13="",$C$13="لا"),"",$A$13)</f>
        <v/>
      </c>
      <c r="B57" s="86" t="s">
        <v>215</v>
      </c>
      <c r="X57" s="30"/>
      <c r="Y57" s="65">
        <f>IF($B57="","",COUNTIF($C57:$X57,الإعدادات!$H$4))</f>
        <v>0</v>
      </c>
      <c r="Z57" s="65">
        <f>IF($B57="","",COUNTIF($C57:$X57,الإعدادات!$H$5))</f>
        <v>0</v>
      </c>
      <c r="AA57" s="65">
        <f>IF($B57="","",COUNTIF($C57:$X57,الإعدادات!$H$6))</f>
        <v>0</v>
      </c>
      <c r="AB57" s="65">
        <f>IF($B57="","",COUNTIF($C57:$X57,الإعدادات!$H$7))</f>
        <v>0</v>
      </c>
      <c r="AC57" s="65">
        <f>IF($B57="","",COUNTIF($C57:$X57,الإعدادات!$H$8))</f>
        <v>0</v>
      </c>
      <c r="AD57" s="65">
        <f>IF($B57="","",COUNTIF($C57:$X57,الإعدادات!$H$9))</f>
        <v>0</v>
      </c>
      <c r="AE57" s="66">
        <f>IF($B57="","",COUNTIF($C57:$X57,الإعدادات!$H$10))</f>
        <v>0</v>
      </c>
      <c r="AF57" s="66">
        <f t="shared" si="1"/>
        <v>0</v>
      </c>
    </row>
    <row r="58" spans="1:32" ht="15">
      <c r="A58" s="11" t="str">
        <f>IF(OR($B$14="",$C$14="لا"),"",$A$14)</f>
        <v/>
      </c>
      <c r="B58" s="86" t="s">
        <v>216</v>
      </c>
      <c r="L58" t="s">
        <v>39</v>
      </c>
      <c r="M58" t="s">
        <v>39</v>
      </c>
      <c r="X58" s="30"/>
      <c r="Y58" s="65">
        <f>IF($B58="","",COUNTIF($C58:$X58,الإعدادات!$H$4))</f>
        <v>0</v>
      </c>
      <c r="Z58" s="65">
        <f>IF($B58="","",COUNTIF($C58:$X58,الإعدادات!$H$5))</f>
        <v>0</v>
      </c>
      <c r="AA58" s="65">
        <f>IF($B58="","",COUNTIF($C58:$X58,الإعدادات!$H$6))</f>
        <v>2</v>
      </c>
      <c r="AB58" s="65">
        <f>IF($B58="","",COUNTIF($C58:$X58,الإعدادات!$H$7))</f>
        <v>0</v>
      </c>
      <c r="AC58" s="65">
        <f>IF($B58="","",COUNTIF($C58:$X58,الإعدادات!$H$8))</f>
        <v>0</v>
      </c>
      <c r="AD58" s="65">
        <f>IF($B58="","",COUNTIF($C58:$X58,الإعدادات!$H$9))</f>
        <v>0</v>
      </c>
      <c r="AE58" s="66">
        <f>IF($B58="","",COUNTIF($C58:$X58,الإعدادات!$H$10))</f>
        <v>0</v>
      </c>
      <c r="AF58" s="66">
        <f t="shared" si="1"/>
        <v>2</v>
      </c>
    </row>
    <row r="59" spans="1:32" ht="15">
      <c r="A59" s="11" t="str">
        <f>IF(OR($B$15="",$C$15="لا"),"",$A$15)</f>
        <v/>
      </c>
      <c r="B59" s="86" t="s">
        <v>217</v>
      </c>
      <c r="X59" s="30"/>
      <c r="Y59" s="65">
        <f>IF($B59="","",COUNTIF($C59:$X59,الإعدادات!$H$4))</f>
        <v>0</v>
      </c>
      <c r="Z59" s="65">
        <f>IF($B59="","",COUNTIF($C59:$X59,الإعدادات!$H$5))</f>
        <v>0</v>
      </c>
      <c r="AA59" s="65">
        <f>IF($B59="","",COUNTIF($C59:$X59,الإعدادات!$H$6))</f>
        <v>0</v>
      </c>
      <c r="AB59" s="65">
        <f>IF($B59="","",COUNTIF($C59:$X59,الإعدادات!$H$7))</f>
        <v>0</v>
      </c>
      <c r="AC59" s="65">
        <f>IF($B59="","",COUNTIF($C59:$X59,الإعدادات!$H$8))</f>
        <v>0</v>
      </c>
      <c r="AD59" s="65">
        <f>IF($B59="","",COUNTIF($C59:$X59,الإعدادات!$H$9))</f>
        <v>0</v>
      </c>
      <c r="AE59" s="66">
        <f>IF($B59="","",COUNTIF($C59:$X59,الإعدادات!$H$10))</f>
        <v>0</v>
      </c>
      <c r="AF59" s="66">
        <f t="shared" si="1"/>
        <v>0</v>
      </c>
    </row>
    <row r="60" spans="1:32" ht="15">
      <c r="A60" s="11" t="str">
        <f>IF(OR($B$16="",$C$16="لا"),"",$A$16)</f>
        <v/>
      </c>
      <c r="B60" s="86" t="s">
        <v>218</v>
      </c>
      <c r="X60" s="30"/>
      <c r="Y60" s="65">
        <f>IF($B60="","",COUNTIF($C60:$X60,الإعدادات!$H$4))</f>
        <v>0</v>
      </c>
      <c r="Z60" s="65">
        <f>IF($B60="","",COUNTIF($C60:$X60,الإعدادات!$H$5))</f>
        <v>0</v>
      </c>
      <c r="AA60" s="65">
        <f>IF($B60="","",COUNTIF($C60:$X60,الإعدادات!$H$6))</f>
        <v>0</v>
      </c>
      <c r="AB60" s="65">
        <f>IF($B60="","",COUNTIF($C60:$X60,الإعدادات!$H$7))</f>
        <v>0</v>
      </c>
      <c r="AC60" s="65">
        <f>IF($B60="","",COUNTIF($C60:$X60,الإعدادات!$H$8))</f>
        <v>0</v>
      </c>
      <c r="AD60" s="65">
        <f>IF($B60="","",COUNTIF($C60:$X60,الإعدادات!$H$9))</f>
        <v>0</v>
      </c>
      <c r="AE60" s="66">
        <f>IF($B60="","",COUNTIF($C60:$X60,الإعدادات!$H$10))</f>
        <v>0</v>
      </c>
      <c r="AF60" s="66">
        <f t="shared" si="1"/>
        <v>0</v>
      </c>
    </row>
    <row r="61" spans="1:32" ht="15">
      <c r="A61" s="11" t="str">
        <f>IF(OR($B$17="",$C$17="لا"),"",$A$17)</f>
        <v/>
      </c>
      <c r="B61" s="86" t="s">
        <v>219</v>
      </c>
      <c r="X61" s="30"/>
      <c r="Y61" s="65">
        <f>IF($B61="","",COUNTIF($C61:$X61,الإعدادات!$H$4))</f>
        <v>0</v>
      </c>
      <c r="Z61" s="65">
        <f>IF($B61="","",COUNTIF($C61:$X61,الإعدادات!$H$5))</f>
        <v>0</v>
      </c>
      <c r="AA61" s="65">
        <f>IF($B61="","",COUNTIF($C61:$X61,الإعدادات!$H$6))</f>
        <v>0</v>
      </c>
      <c r="AB61" s="65">
        <f>IF($B61="","",COUNTIF($C61:$X61,الإعدادات!$H$7))</f>
        <v>0</v>
      </c>
      <c r="AC61" s="65">
        <f>IF($B61="","",COUNTIF($C61:$X61,الإعدادات!$H$8))</f>
        <v>0</v>
      </c>
      <c r="AD61" s="65">
        <f>IF($B61="","",COUNTIF($C61:$X61,الإعدادات!$H$9))</f>
        <v>0</v>
      </c>
      <c r="AE61" s="66">
        <f>IF($B61="","",COUNTIF($C61:$X61,الإعدادات!$H$10))</f>
        <v>0</v>
      </c>
      <c r="AF61" s="66">
        <f t="shared" si="1"/>
        <v>0</v>
      </c>
    </row>
    <row r="62" spans="1:32" ht="15">
      <c r="A62" s="11" t="str">
        <f>IF(OR($B$18="",$C$18="لا"),"",$A$18)</f>
        <v/>
      </c>
      <c r="B62" s="86" t="s">
        <v>240</v>
      </c>
      <c r="X62" s="30"/>
      <c r="Y62" s="65">
        <f>IF($B62="","",COUNTIF($C62:$X62,الإعدادات!$H$4))</f>
        <v>0</v>
      </c>
      <c r="Z62" s="65">
        <f>IF($B62="","",COUNTIF($C62:$X62,الإعدادات!$H$5))</f>
        <v>0</v>
      </c>
      <c r="AA62" s="65">
        <f>IF($B62="","",COUNTIF($C62:$X62,الإعدادات!$H$6))</f>
        <v>0</v>
      </c>
      <c r="AB62" s="65">
        <f>IF($B62="","",COUNTIF($C62:$X62,الإعدادات!$H$7))</f>
        <v>0</v>
      </c>
      <c r="AC62" s="65">
        <f>IF($B62="","",COUNTIF($C62:$X62,الإعدادات!$H$8))</f>
        <v>0</v>
      </c>
      <c r="AD62" s="65">
        <f>IF($B62="","",COUNTIF($C62:$X62,الإعدادات!$H$9))</f>
        <v>0</v>
      </c>
      <c r="AE62" s="66">
        <f>IF($B62="","",COUNTIF($C62:$X62,الإعدادات!$H$10))</f>
        <v>0</v>
      </c>
      <c r="AF62" s="66">
        <f t="shared" si="1"/>
        <v>0</v>
      </c>
    </row>
    <row r="63" spans="1:32" ht="15">
      <c r="A63" s="11" t="str">
        <f>IF(OR($B$19="",$C$19="لا"),"",$A$19)</f>
        <v/>
      </c>
      <c r="B63" s="86" t="s">
        <v>220</v>
      </c>
      <c r="X63" s="30"/>
      <c r="Y63" s="65">
        <f>IF($B63="","",COUNTIF($C63:$X63,الإعدادات!$H$4))</f>
        <v>0</v>
      </c>
      <c r="Z63" s="65">
        <f>IF($B63="","",COUNTIF($C63:$X63,الإعدادات!$H$5))</f>
        <v>0</v>
      </c>
      <c r="AA63" s="65">
        <f>IF($B63="","",COUNTIF($C63:$X63,الإعدادات!$H$6))</f>
        <v>0</v>
      </c>
      <c r="AB63" s="65">
        <f>IF($B63="","",COUNTIF($C63:$X63,الإعدادات!$H$7))</f>
        <v>0</v>
      </c>
      <c r="AC63" s="65">
        <f>IF($B63="","",COUNTIF($C63:$X63,الإعدادات!$H$8))</f>
        <v>0</v>
      </c>
      <c r="AD63" s="65">
        <f>IF($B63="","",COUNTIF($C63:$X63,الإعدادات!$H$9))</f>
        <v>0</v>
      </c>
      <c r="AE63" s="66">
        <f>IF($B63="","",COUNTIF($C63:$X63,الإعدادات!$H$10))</f>
        <v>0</v>
      </c>
      <c r="AF63" s="66">
        <f t="shared" si="1"/>
        <v>0</v>
      </c>
    </row>
    <row r="64" spans="1:32" ht="15">
      <c r="A64" s="11" t="str">
        <f>IF(OR($B$20="",$C$20="لا"),"",$A$20)</f>
        <v/>
      </c>
      <c r="B64" s="86" t="s">
        <v>221</v>
      </c>
      <c r="X64" s="30"/>
      <c r="Y64" s="65">
        <f>IF($B64="","",COUNTIF($C64:$X64,الإعدادات!$H$4))</f>
        <v>0</v>
      </c>
      <c r="Z64" s="65">
        <f>IF($B64="","",COUNTIF($C64:$X64,الإعدادات!$H$5))</f>
        <v>0</v>
      </c>
      <c r="AA64" s="65">
        <f>IF($B64="","",COUNTIF($C64:$X64,الإعدادات!$H$6))</f>
        <v>0</v>
      </c>
      <c r="AB64" s="65">
        <f>IF($B64="","",COUNTIF($C64:$X64,الإعدادات!$H$7))</f>
        <v>0</v>
      </c>
      <c r="AC64" s="65">
        <f>IF($B64="","",COUNTIF($C64:$X64,الإعدادات!$H$8))</f>
        <v>0</v>
      </c>
      <c r="AD64" s="65">
        <f>IF($B64="","",COUNTIF($C64:$X64,الإعدادات!$H$9))</f>
        <v>0</v>
      </c>
      <c r="AE64" s="66">
        <f>IF($B64="","",COUNTIF($C64:$X64,الإعدادات!$H$10))</f>
        <v>0</v>
      </c>
      <c r="AF64" s="66">
        <f t="shared" si="1"/>
        <v>0</v>
      </c>
    </row>
    <row r="65" spans="1:32" ht="15">
      <c r="A65" s="11" t="str">
        <f>IF(OR($B$21="",$C$21="لا"),"",$A$21)</f>
        <v/>
      </c>
      <c r="B65" s="86" t="s">
        <v>222</v>
      </c>
      <c r="X65" s="30"/>
      <c r="Y65" s="65">
        <f>IF($B65="","",COUNTIF($C65:$X65,الإعدادات!$H$4))</f>
        <v>0</v>
      </c>
      <c r="Z65" s="65">
        <f>IF($B65="","",COUNTIF($C65:$X65,الإعدادات!$H$5))</f>
        <v>0</v>
      </c>
      <c r="AA65" s="65">
        <f>IF($B65="","",COUNTIF($C65:$X65,الإعدادات!$H$6))</f>
        <v>0</v>
      </c>
      <c r="AB65" s="65">
        <f>IF($B65="","",COUNTIF($C65:$X65,الإعدادات!$H$7))</f>
        <v>0</v>
      </c>
      <c r="AC65" s="65">
        <f>IF($B65="","",COUNTIF($C65:$X65,الإعدادات!$H$8))</f>
        <v>0</v>
      </c>
      <c r="AD65" s="65">
        <f>IF($B65="","",COUNTIF($C65:$X65,الإعدادات!$H$9))</f>
        <v>0</v>
      </c>
      <c r="AE65" s="66">
        <f>IF($B65="","",COUNTIF($C65:$X65,الإعدادات!$H$10))</f>
        <v>0</v>
      </c>
      <c r="AF65" s="66">
        <f t="shared" si="1"/>
        <v>0</v>
      </c>
    </row>
    <row r="66" spans="1:32" ht="15">
      <c r="A66" s="11" t="str">
        <f>IF(OR($B$22="",$C$22="لا"),"",$A$22)</f>
        <v/>
      </c>
      <c r="B66" s="86" t="s">
        <v>223</v>
      </c>
      <c r="L66" t="s">
        <v>39</v>
      </c>
      <c r="M66" t="s">
        <v>39</v>
      </c>
      <c r="Q66" t="s">
        <v>46</v>
      </c>
      <c r="X66" s="30"/>
      <c r="Y66" s="65">
        <f>IF($B66="","",COUNTIF($C66:$X66,الإعدادات!$H$4))</f>
        <v>0</v>
      </c>
      <c r="Z66" s="65">
        <f>IF($B66="","",COUNTIF($C66:$X66,الإعدادات!$H$5))</f>
        <v>0</v>
      </c>
      <c r="AA66" s="65">
        <f>IF($B66="","",COUNTIF($C66:$X66,الإعدادات!$H$6))</f>
        <v>2</v>
      </c>
      <c r="AB66" s="65">
        <f>IF($B66="","",COUNTIF($C66:$X66,الإعدادات!$H$7))</f>
        <v>0</v>
      </c>
      <c r="AC66" s="65">
        <f>IF($B66="","",COUNTIF($C66:$X66,الإعدادات!$H$8))</f>
        <v>1</v>
      </c>
      <c r="AD66" s="65">
        <f>IF($B66="","",COUNTIF($C66:$X66,الإعدادات!$H$9))</f>
        <v>0</v>
      </c>
      <c r="AE66" s="66">
        <f>IF($B66="","",COUNTIF($C66:$X66,الإعدادات!$H$10))</f>
        <v>0</v>
      </c>
      <c r="AF66" s="66">
        <f t="shared" si="1"/>
        <v>3</v>
      </c>
    </row>
    <row r="67" spans="1:32" ht="15">
      <c r="A67" s="11" t="str">
        <f>IF(OR($B$23="",$C$23="لا"),"",$A$23)</f>
        <v/>
      </c>
      <c r="B67" s="86" t="s">
        <v>224</v>
      </c>
      <c r="M67" t="s">
        <v>39</v>
      </c>
      <c r="Q67" t="s">
        <v>46</v>
      </c>
      <c r="X67" s="30"/>
      <c r="Y67" s="65">
        <f>IF($B67="","",COUNTIF($C67:$X67,الإعدادات!$H$4))</f>
        <v>0</v>
      </c>
      <c r="Z67" s="65">
        <f>IF($B67="","",COUNTIF($C67:$X67,الإعدادات!$H$5))</f>
        <v>0</v>
      </c>
      <c r="AA67" s="65">
        <f>IF($B67="","",COUNTIF($C67:$X67,الإعدادات!$H$6))</f>
        <v>1</v>
      </c>
      <c r="AB67" s="65">
        <f>IF($B67="","",COUNTIF($C67:$X67,الإعدادات!$H$7))</f>
        <v>0</v>
      </c>
      <c r="AC67" s="65">
        <f>IF($B67="","",COUNTIF($C67:$X67,الإعدادات!$H$8))</f>
        <v>1</v>
      </c>
      <c r="AD67" s="65">
        <f>IF($B67="","",COUNTIF($C67:$X67,الإعدادات!$H$9))</f>
        <v>0</v>
      </c>
      <c r="AE67" s="66">
        <f>IF($B67="","",COUNTIF($C67:$X67,الإعدادات!$H$10))</f>
        <v>0</v>
      </c>
      <c r="AF67" s="66">
        <f t="shared" si="1"/>
        <v>2</v>
      </c>
    </row>
    <row r="68" spans="1:32" ht="15">
      <c r="A68" s="11" t="str">
        <f>IF(OR($B$24="",$C$24="لا"),"",$A$24)</f>
        <v/>
      </c>
      <c r="B68" s="86" t="s">
        <v>225</v>
      </c>
      <c r="X68" s="30"/>
      <c r="Y68" s="65">
        <f>IF($B68="","",COUNTIF($C68:$X68,الإعدادات!$H$4))</f>
        <v>0</v>
      </c>
      <c r="Z68" s="65">
        <f>IF($B68="","",COUNTIF($C68:$X68,الإعدادات!$H$5))</f>
        <v>0</v>
      </c>
      <c r="AA68" s="65">
        <f>IF($B68="","",COUNTIF($C68:$X68,الإعدادات!$H$6))</f>
        <v>0</v>
      </c>
      <c r="AB68" s="65">
        <f>IF($B68="","",COUNTIF($C68:$X68,الإعدادات!$H$7))</f>
        <v>0</v>
      </c>
      <c r="AC68" s="65">
        <f>IF($B68="","",COUNTIF($C68:$X68,الإعدادات!$H$8))</f>
        <v>0</v>
      </c>
      <c r="AD68" s="65">
        <f>IF($B68="","",COUNTIF($C68:$X68,الإعدادات!$H$9))</f>
        <v>0</v>
      </c>
      <c r="AE68" s="66">
        <f>IF($B68="","",COUNTIF($C68:$X68,الإعدادات!$H$10))</f>
        <v>0</v>
      </c>
      <c r="AF68" s="66">
        <f t="shared" si="1"/>
        <v>0</v>
      </c>
    </row>
    <row r="69" spans="1:32" ht="15">
      <c r="A69" s="11" t="str">
        <f>IF(OR($B$25="",$C$25="لا"),"",$A$25)</f>
        <v/>
      </c>
      <c r="B69" s="86" t="s">
        <v>226</v>
      </c>
      <c r="Q69" t="s">
        <v>46</v>
      </c>
      <c r="X69" s="30"/>
      <c r="Y69" s="65">
        <f>IF($B69="","",COUNTIF($C69:$X69,الإعدادات!$H$4))</f>
        <v>0</v>
      </c>
      <c r="Z69" s="65">
        <f>IF($B69="","",COUNTIF($C69:$X69,الإعدادات!$H$5))</f>
        <v>0</v>
      </c>
      <c r="AA69" s="65">
        <f>IF($B69="","",COUNTIF($C69:$X69,الإعدادات!$H$6))</f>
        <v>0</v>
      </c>
      <c r="AB69" s="65">
        <f>IF($B69="","",COUNTIF($C69:$X69,الإعدادات!$H$7))</f>
        <v>0</v>
      </c>
      <c r="AC69" s="65">
        <f>IF($B69="","",COUNTIF($C69:$X69,الإعدادات!$H$8))</f>
        <v>1</v>
      </c>
      <c r="AD69" s="65">
        <f>IF($B69="","",COUNTIF($C69:$X69,الإعدادات!$H$9))</f>
        <v>0</v>
      </c>
      <c r="AE69" s="66">
        <f>IF($B69="","",COUNTIF($C69:$X69,الإعدادات!$H$10))</f>
        <v>0</v>
      </c>
      <c r="AF69" s="66">
        <f t="shared" si="1"/>
        <v>1</v>
      </c>
    </row>
    <row r="70" spans="1:32" ht="15">
      <c r="A70" s="11" t="str">
        <f>IF(OR($B$26="",$C$26="لا"),"",$A$26)</f>
        <v/>
      </c>
      <c r="B70" s="86" t="s">
        <v>241</v>
      </c>
      <c r="X70" s="30"/>
      <c r="Y70" s="65">
        <f>IF($B70="","",COUNTIF($C70:$X70,الإعدادات!$H$4))</f>
        <v>0</v>
      </c>
      <c r="Z70" s="65">
        <f>IF($B70="","",COUNTIF($C70:$X70,الإعدادات!$H$5))</f>
        <v>0</v>
      </c>
      <c r="AA70" s="65">
        <f>IF($B70="","",COUNTIF($C70:$X70,الإعدادات!$H$6))</f>
        <v>0</v>
      </c>
      <c r="AB70" s="65">
        <f>IF($B70="","",COUNTIF($C70:$X70,الإعدادات!$H$7))</f>
        <v>0</v>
      </c>
      <c r="AC70" s="65">
        <f>IF($B70="","",COUNTIF($C70:$X70,الإعدادات!$H$8))</f>
        <v>0</v>
      </c>
      <c r="AD70" s="65">
        <f>IF($B70="","",COUNTIF($C70:$X70,الإعدادات!$H$9))</f>
        <v>0</v>
      </c>
      <c r="AE70" s="66">
        <f>IF($B70="","",COUNTIF($C70:$X70,الإعدادات!$H$10))</f>
        <v>0</v>
      </c>
      <c r="AF70" s="66">
        <f t="shared" si="1"/>
        <v>0</v>
      </c>
    </row>
    <row r="71" spans="1:32" ht="15">
      <c r="A71" s="11" t="str">
        <f>IF(OR($B$27="",$C$27="لا"),"",$A$27)</f>
        <v/>
      </c>
      <c r="B71" s="86" t="s">
        <v>242</v>
      </c>
      <c r="X71" s="30"/>
      <c r="Y71" s="65">
        <f>IF($B71="","",COUNTIF($C71:$X71,الإعدادات!$H$4))</f>
        <v>0</v>
      </c>
      <c r="Z71" s="65">
        <f>IF($B71="","",COUNTIF($C71:$X71,الإعدادات!$H$5))</f>
        <v>0</v>
      </c>
      <c r="AA71" s="65">
        <f>IF($B71="","",COUNTIF($C71:$X71,الإعدادات!$H$6))</f>
        <v>0</v>
      </c>
      <c r="AB71" s="65">
        <f>IF($B71="","",COUNTIF($C71:$X71,الإعدادات!$H$7))</f>
        <v>0</v>
      </c>
      <c r="AC71" s="65">
        <f>IF($B71="","",COUNTIF($C71:$X71,الإعدادات!$H$8))</f>
        <v>0</v>
      </c>
      <c r="AD71" s="65">
        <f>IF($B71="","",COUNTIF($C71:$X71,الإعدادات!$H$9))</f>
        <v>0</v>
      </c>
      <c r="AE71" s="66">
        <f>IF($B71="","",COUNTIF($C71:$X71,الإعدادات!$H$10))</f>
        <v>0</v>
      </c>
      <c r="AF71" s="66">
        <f t="shared" si="1"/>
        <v>0</v>
      </c>
    </row>
    <row r="72" spans="1:32" ht="15">
      <c r="A72" s="11" t="str">
        <f>IF(OR($B$28="",$C$28="لا"),"",$A$28)</f>
        <v/>
      </c>
      <c r="B72" s="86" t="s">
        <v>227</v>
      </c>
      <c r="X72" s="30"/>
      <c r="Y72" s="65">
        <f>IF($B72="","",COUNTIF($C72:$X72,الإعدادات!$H$4))</f>
        <v>0</v>
      </c>
      <c r="Z72" s="65">
        <f>IF($B72="","",COUNTIF($C72:$X72,الإعدادات!$H$5))</f>
        <v>0</v>
      </c>
      <c r="AA72" s="65">
        <f>IF($B72="","",COUNTIF($C72:$X72,الإعدادات!$H$6))</f>
        <v>0</v>
      </c>
      <c r="AB72" s="65">
        <f>IF($B72="","",COUNTIF($C72:$X72,الإعدادات!$H$7))</f>
        <v>0</v>
      </c>
      <c r="AC72" s="65">
        <f>IF($B72="","",COUNTIF($C72:$X72,الإعدادات!$H$8))</f>
        <v>0</v>
      </c>
      <c r="AD72" s="65">
        <f>IF($B72="","",COUNTIF($C72:$X72,الإعدادات!$H$9))</f>
        <v>0</v>
      </c>
      <c r="AE72" s="66">
        <f>IF($B72="","",COUNTIF($C72:$X72,الإعدادات!$H$10))</f>
        <v>0</v>
      </c>
      <c r="AF72" s="66">
        <f t="shared" si="1"/>
        <v>0</v>
      </c>
    </row>
    <row r="73" spans="1:32" ht="15">
      <c r="A73" s="11" t="str">
        <f>IF(OR($B$29="",$C$29="لا"),"",$A$29)</f>
        <v/>
      </c>
      <c r="B73" s="86" t="s">
        <v>228</v>
      </c>
      <c r="M73" t="s">
        <v>52</v>
      </c>
      <c r="X73" s="30"/>
      <c r="Y73" s="65">
        <f>IF($B73="","",COUNTIF($C73:$X73,الإعدادات!$H$4))</f>
        <v>0</v>
      </c>
      <c r="Z73" s="65">
        <f>IF($B73="","",COUNTIF($C73:$X73,الإعدادات!$H$5))</f>
        <v>0</v>
      </c>
      <c r="AA73" s="65">
        <f>IF($B73="","",COUNTIF($C73:$X73,الإعدادات!$H$6))</f>
        <v>0</v>
      </c>
      <c r="AB73" s="65">
        <f>IF($B73="","",COUNTIF($C73:$X73,الإعدادات!$H$7))</f>
        <v>0</v>
      </c>
      <c r="AC73" s="65">
        <f>IF($B73="","",COUNTIF($C73:$X73,الإعدادات!$H$8))</f>
        <v>0</v>
      </c>
      <c r="AD73" s="65">
        <f>IF($B73="","",COUNTIF($C73:$X73,الإعدادات!$H$9))</f>
        <v>0</v>
      </c>
      <c r="AE73" s="66">
        <f>IF($B73="","",COUNTIF($C73:$X73,الإعدادات!$H$10))</f>
        <v>1</v>
      </c>
      <c r="AF73" s="66">
        <f t="shared" si="1"/>
        <v>0</v>
      </c>
    </row>
    <row r="74" spans="1:32" ht="15">
      <c r="A74" s="11" t="str">
        <f>IF(OR($B$30="",$C$30="لا"),"",$A$30)</f>
        <v/>
      </c>
      <c r="B74" s="86" t="s">
        <v>229</v>
      </c>
      <c r="X74" s="30"/>
      <c r="Y74" s="65">
        <f>IF($B74="","",COUNTIF($C74:$X74,الإعدادات!$H$4))</f>
        <v>0</v>
      </c>
      <c r="Z74" s="65">
        <f>IF($B74="","",COUNTIF($C74:$X74,الإعدادات!$H$5))</f>
        <v>0</v>
      </c>
      <c r="AA74" s="65">
        <f>IF($B74="","",COUNTIF($C74:$X74,الإعدادات!$H$6))</f>
        <v>0</v>
      </c>
      <c r="AB74" s="65">
        <f>IF($B74="","",COUNTIF($C74:$X74,الإعدادات!$H$7))</f>
        <v>0</v>
      </c>
      <c r="AC74" s="65">
        <f>IF($B74="","",COUNTIF($C74:$X74,الإعدادات!$H$8))</f>
        <v>0</v>
      </c>
      <c r="AD74" s="65">
        <f>IF($B74="","",COUNTIF($C74:$X74,الإعدادات!$H$9))</f>
        <v>0</v>
      </c>
      <c r="AE74" s="66">
        <f>IF($B74="","",COUNTIF($C74:$X74,الإعدادات!$H$10))</f>
        <v>0</v>
      </c>
      <c r="AF74" s="66">
        <f t="shared" si="1"/>
        <v>0</v>
      </c>
    </row>
    <row r="75" spans="1:32" ht="15">
      <c r="A75" s="11" t="str">
        <f>IF(OR($B$31="",$C$31="لا"),"",$A$31)</f>
        <v/>
      </c>
      <c r="B75" s="86" t="s">
        <v>230</v>
      </c>
      <c r="X75" s="30"/>
      <c r="Y75" s="65">
        <f>IF($B75="","",COUNTIF($C75:$X75,الإعدادات!$H$4))</f>
        <v>0</v>
      </c>
      <c r="Z75" s="65">
        <f>IF($B75="","",COUNTIF($C75:$X75,الإعدادات!$H$5))</f>
        <v>0</v>
      </c>
      <c r="AA75" s="65">
        <f>IF($B75="","",COUNTIF($C75:$X75,الإعدادات!$H$6))</f>
        <v>0</v>
      </c>
      <c r="AB75" s="65">
        <f>IF($B75="","",COUNTIF($C75:$X75,الإعدادات!$H$7))</f>
        <v>0</v>
      </c>
      <c r="AC75" s="65">
        <f>IF($B75="","",COUNTIF($C75:$X75,الإعدادات!$H$8))</f>
        <v>0</v>
      </c>
      <c r="AD75" s="65">
        <f>IF($B75="","",COUNTIF($C75:$X75,الإعدادات!$H$9))</f>
        <v>0</v>
      </c>
      <c r="AE75" s="66">
        <f>IF($B75="","",COUNTIF($C75:$X75,الإعدادات!$H$10))</f>
        <v>0</v>
      </c>
      <c r="AF75" s="66">
        <f t="shared" si="1"/>
        <v>0</v>
      </c>
    </row>
    <row r="76" spans="1:32" ht="15">
      <c r="A76" s="11" t="str">
        <f>IF(OR($B$32="",$C$32="لا"),"",$A$32)</f>
        <v/>
      </c>
      <c r="B76" s="86" t="s">
        <v>231</v>
      </c>
      <c r="M76" t="s">
        <v>52</v>
      </c>
      <c r="X76" s="30"/>
      <c r="Y76" s="65">
        <f>IF($B76="","",COUNTIF($C76:$X76,الإعدادات!$H$4))</f>
        <v>0</v>
      </c>
      <c r="Z76" s="65">
        <f>IF($B76="","",COUNTIF($C76:$X76,الإعدادات!$H$5))</f>
        <v>0</v>
      </c>
      <c r="AA76" s="65">
        <f>IF($B76="","",COUNTIF($C76:$X76,الإعدادات!$H$6))</f>
        <v>0</v>
      </c>
      <c r="AB76" s="65">
        <f>IF($B76="","",COUNTIF($C76:$X76,الإعدادات!$H$7))</f>
        <v>0</v>
      </c>
      <c r="AC76" s="65">
        <f>IF($B76="","",COUNTIF($C76:$X76,الإعدادات!$H$8))</f>
        <v>0</v>
      </c>
      <c r="AD76" s="65">
        <f>IF($B76="","",COUNTIF($C76:$X76,الإعدادات!$H$9))</f>
        <v>0</v>
      </c>
      <c r="AE76" s="66">
        <f>IF($B76="","",COUNTIF($C76:$X76,الإعدادات!$H$10))</f>
        <v>1</v>
      </c>
      <c r="AF76" s="66">
        <f t="shared" si="1"/>
        <v>0</v>
      </c>
    </row>
    <row r="77" spans="1:32" ht="15">
      <c r="A77" s="11" t="str">
        <f>IF(OR($B$33="",$C$33="لا"),"",$A$33)</f>
        <v/>
      </c>
      <c r="B77" s="86" t="s">
        <v>232</v>
      </c>
      <c r="M77" t="s">
        <v>52</v>
      </c>
      <c r="X77" s="30"/>
      <c r="Y77" s="65">
        <f>IF($B77="","",COUNTIF($C77:$X77,الإعدادات!$H$4))</f>
        <v>0</v>
      </c>
      <c r="Z77" s="65">
        <f>IF($B77="","",COUNTIF($C77:$X77,الإعدادات!$H$5))</f>
        <v>0</v>
      </c>
      <c r="AA77" s="65">
        <f>IF($B77="","",COUNTIF($C77:$X77,الإعدادات!$H$6))</f>
        <v>0</v>
      </c>
      <c r="AB77" s="65">
        <f>IF($B77="","",COUNTIF($C77:$X77,الإعدادات!$H$7))</f>
        <v>0</v>
      </c>
      <c r="AC77" s="65">
        <f>IF($B77="","",COUNTIF($C77:$X77,الإعدادات!$H$8))</f>
        <v>0</v>
      </c>
      <c r="AD77" s="65">
        <f>IF($B77="","",COUNTIF($C77:$X77,الإعدادات!$H$9))</f>
        <v>0</v>
      </c>
      <c r="AE77" s="66">
        <f>IF($B77="","",COUNTIF($C77:$X77,الإعدادات!$H$10))</f>
        <v>1</v>
      </c>
      <c r="AF77" s="66">
        <f t="shared" si="1"/>
        <v>0</v>
      </c>
    </row>
    <row r="78" spans="1:32" ht="15">
      <c r="A78" s="11" t="str">
        <f>IF(OR($B$34="",$C$34="لا"),"",$A$34)</f>
        <v/>
      </c>
      <c r="B78" s="86" t="s">
        <v>233</v>
      </c>
      <c r="Q78" t="s">
        <v>52</v>
      </c>
      <c r="X78" s="30"/>
      <c r="Y78" s="65">
        <f>IF($B78="","",COUNTIF($C78:$X78,الإعدادات!$H$4))</f>
        <v>0</v>
      </c>
      <c r="Z78" s="65">
        <f>IF($B78="","",COUNTIF($C78:$X78,الإعدادات!$H$5))</f>
        <v>0</v>
      </c>
      <c r="AA78" s="65">
        <f>IF($B78="","",COUNTIF($C78:$X78,الإعدادات!$H$6))</f>
        <v>0</v>
      </c>
      <c r="AB78" s="65">
        <f>IF($B78="","",COUNTIF($C78:$X78,الإعدادات!$H$7))</f>
        <v>0</v>
      </c>
      <c r="AC78" s="65">
        <f>IF($B78="","",COUNTIF($C78:$X78,الإعدادات!$H$8))</f>
        <v>0</v>
      </c>
      <c r="AD78" s="65">
        <f>IF($B78="","",COUNTIF($C78:$X78,الإعدادات!$H$9))</f>
        <v>0</v>
      </c>
      <c r="AE78" s="66">
        <f>IF($B78="","",COUNTIF($C78:$X78,الإعدادات!$H$10))</f>
        <v>1</v>
      </c>
      <c r="AF78" s="66">
        <f t="shared" si="1"/>
        <v>0</v>
      </c>
    </row>
    <row r="79" spans="1:32" ht="15">
      <c r="A79" s="11" t="str">
        <f>IF(OR($B$35="",$C$35="لا"),"",$A$35)</f>
        <v/>
      </c>
      <c r="B79" s="86" t="s">
        <v>234</v>
      </c>
      <c r="X79" s="30"/>
      <c r="Y79" s="65">
        <f>IF($B79="","",COUNTIF($C79:$X79,الإعدادات!$H$4))</f>
        <v>0</v>
      </c>
      <c r="Z79" s="65">
        <f>IF($B79="","",COUNTIF($C79:$X79,الإعدادات!$H$5))</f>
        <v>0</v>
      </c>
      <c r="AA79" s="65">
        <f>IF($B79="","",COUNTIF($C79:$X79,الإعدادات!$H$6))</f>
        <v>0</v>
      </c>
      <c r="AB79" s="65">
        <f>IF($B79="","",COUNTIF($C79:$X79,الإعدادات!$H$7))</f>
        <v>0</v>
      </c>
      <c r="AC79" s="65">
        <f>IF($B79="","",COUNTIF($C79:$X79,الإعدادات!$H$8))</f>
        <v>0</v>
      </c>
      <c r="AD79" s="65">
        <f>IF($B79="","",COUNTIF($C79:$X79,الإعدادات!$H$9))</f>
        <v>0</v>
      </c>
      <c r="AE79" s="66">
        <f>IF($B79="","",COUNTIF($C79:$X79,الإعدادات!$H$10))</f>
        <v>0</v>
      </c>
      <c r="AF79" s="66">
        <f t="shared" si="1"/>
        <v>0</v>
      </c>
    </row>
    <row r="80" spans="1:32" ht="15">
      <c r="A80" s="11" t="str">
        <f>IF(OR($B$36="",$C$36="لا"),"",$A$36)</f>
        <v/>
      </c>
      <c r="B80" s="86" t="s">
        <v>235</v>
      </c>
      <c r="X80" s="30"/>
      <c r="Y80" s="65">
        <f>IF($B80="","",COUNTIF($C80:$X80,الإعدادات!$H$4))</f>
        <v>0</v>
      </c>
      <c r="Z80" s="65">
        <f>IF($B80="","",COUNTIF($C80:$X80,الإعدادات!$H$5))</f>
        <v>0</v>
      </c>
      <c r="AA80" s="65">
        <f>IF($B80="","",COUNTIF($C80:$X80,الإعدادات!$H$6))</f>
        <v>0</v>
      </c>
      <c r="AB80" s="65">
        <f>IF($B80="","",COUNTIF($C80:$X80,الإعدادات!$H$7))</f>
        <v>0</v>
      </c>
      <c r="AC80" s="65">
        <f>IF($B80="","",COUNTIF($C80:$X80,الإعدادات!$H$8))</f>
        <v>0</v>
      </c>
      <c r="AD80" s="65">
        <f>IF($B80="","",COUNTIF($C80:$X80,الإعدادات!$H$9))</f>
        <v>0</v>
      </c>
      <c r="AE80" s="66">
        <f>IF($B80="","",COUNTIF($C80:$X80,الإعدادات!$H$10))</f>
        <v>0</v>
      </c>
      <c r="AF80" s="66">
        <f t="shared" si="1"/>
        <v>0</v>
      </c>
    </row>
    <row r="81" spans="1:32" ht="15">
      <c r="A81" s="11" t="str">
        <f>IF(OR($B$37="",$C$37="لا"),"",$A$37)</f>
        <v/>
      </c>
      <c r="B81" s="86" t="s">
        <v>236</v>
      </c>
      <c r="X81" s="30"/>
      <c r="Y81" s="65">
        <f>IF($B81="","",COUNTIF($C81:$X81,الإعدادات!$H$4))</f>
        <v>0</v>
      </c>
      <c r="Z81" s="65">
        <f>IF($B81="","",COUNTIF($C81:$X81,الإعدادات!$H$5))</f>
        <v>0</v>
      </c>
      <c r="AA81" s="65">
        <f>IF($B81="","",COUNTIF($C81:$X81,الإعدادات!$H$6))</f>
        <v>0</v>
      </c>
      <c r="AB81" s="65">
        <f>IF($B81="","",COUNTIF($C81:$X81,الإعدادات!$H$7))</f>
        <v>0</v>
      </c>
      <c r="AC81" s="65">
        <f>IF($B81="","",COUNTIF($C81:$X81,الإعدادات!$H$8))</f>
        <v>0</v>
      </c>
      <c r="AD81" s="65">
        <f>IF($B81="","",COUNTIF($C81:$X81,الإعدادات!$H$9))</f>
        <v>0</v>
      </c>
      <c r="AE81" s="66">
        <f>IF($B81="","",COUNTIF($C81:$X81,الإعدادات!$H$10))</f>
        <v>0</v>
      </c>
      <c r="AF81" s="66">
        <f t="shared" si="1"/>
        <v>0</v>
      </c>
    </row>
    <row r="82" spans="1:32" ht="15">
      <c r="A82" s="11" t="str">
        <f>IF(OR($B$38="",$C$38="لا"),"",$A$38)</f>
        <v/>
      </c>
      <c r="B82" s="86" t="s">
        <v>237</v>
      </c>
      <c r="X82" s="30"/>
      <c r="Y82" s="65">
        <f>IF($B82="","",COUNTIF($C82:$X82,الإعدادات!$H$4))</f>
        <v>0</v>
      </c>
      <c r="Z82" s="65">
        <f>IF($B82="","",COUNTIF($C82:$X82,الإعدادات!$H$5))</f>
        <v>0</v>
      </c>
      <c r="AA82" s="65">
        <f>IF($B82="","",COUNTIF($C82:$X82,الإعدادات!$H$6))</f>
        <v>0</v>
      </c>
      <c r="AB82" s="65">
        <f>IF($B82="","",COUNTIF($C82:$X82,الإعدادات!$H$7))</f>
        <v>0</v>
      </c>
      <c r="AC82" s="65">
        <f>IF($B82="","",COUNTIF($C82:$X82,الإعدادات!$H$8))</f>
        <v>0</v>
      </c>
      <c r="AD82" s="65">
        <f>IF($B82="","",COUNTIF($C82:$X82,الإعدادات!$H$9))</f>
        <v>0</v>
      </c>
      <c r="AE82" s="66">
        <f>IF($B82="","",COUNTIF($C82:$X82,الإعدادات!$H$10))</f>
        <v>0</v>
      </c>
      <c r="AF82" s="66">
        <f t="shared" si="1"/>
        <v>0</v>
      </c>
    </row>
    <row r="83" spans="1:32" ht="15">
      <c r="A83" s="11" t="str">
        <f>IF(OR($B$39="",$C$39="لا"),"",$A$39)</f>
        <v/>
      </c>
      <c r="B83" s="86" t="s">
        <v>238</v>
      </c>
      <c r="X83" s="30"/>
      <c r="Y83" s="65">
        <f>IF($B83="","",COUNTIF($C83:$X83,الإعدادات!$H$4))</f>
        <v>0</v>
      </c>
      <c r="Z83" s="65">
        <f>IF($B83="","",COUNTIF($C83:$X83,الإعدادات!$H$5))</f>
        <v>0</v>
      </c>
      <c r="AA83" s="65">
        <f>IF($B83="","",COUNTIF($C83:$X83,الإعدادات!$H$6))</f>
        <v>0</v>
      </c>
      <c r="AB83" s="65">
        <f>IF($B83="","",COUNTIF($C83:$X83,الإعدادات!$H$7))</f>
        <v>0</v>
      </c>
      <c r="AC83" s="65">
        <f>IF($B83="","",COUNTIF($C83:$X83,الإعدادات!$H$8))</f>
        <v>0</v>
      </c>
      <c r="AD83" s="65">
        <f>IF($B83="","",COUNTIF($C83:$X83,الإعدادات!$H$9))</f>
        <v>0</v>
      </c>
      <c r="AE83" s="66">
        <f>IF($B83="","",COUNTIF($C83:$X83,الإعدادات!$H$10))</f>
        <v>0</v>
      </c>
      <c r="AF83" s="66">
        <f t="shared" si="1"/>
        <v>0</v>
      </c>
    </row>
    <row r="84" spans="1:32" ht="15">
      <c r="A84" s="11" t="str">
        <f>IF(OR($B$40="",$C$40="لا"),"",$A$40)</f>
        <v/>
      </c>
      <c r="B84" s="86" t="s">
        <v>243</v>
      </c>
      <c r="X84" s="30"/>
      <c r="Y84" s="65">
        <f>IF($B84="","",COUNTIF($C84:$X84,الإعدادات!$H$4))</f>
        <v>0</v>
      </c>
      <c r="Z84" s="65">
        <f>IF($B84="","",COUNTIF($C84:$X84,الإعدادات!$H$5))</f>
        <v>0</v>
      </c>
      <c r="AA84" s="65">
        <f>IF($B84="","",COUNTIF($C84:$X84,الإعدادات!$H$6))</f>
        <v>0</v>
      </c>
      <c r="AB84" s="65">
        <f>IF($B84="","",COUNTIF($C84:$X84,الإعدادات!$H$7))</f>
        <v>0</v>
      </c>
      <c r="AC84" s="65">
        <f>IF($B84="","",COUNTIF($C84:$X84,الإعدادات!$H$8))</f>
        <v>0</v>
      </c>
      <c r="AD84" s="65">
        <f>IF($B84="","",COUNTIF($C84:$X84,الإعدادات!$H$9))</f>
        <v>0</v>
      </c>
      <c r="AE84" s="66">
        <f>IF($B84="","",COUNTIF($C84:$X84,الإعدادات!$H$10))</f>
        <v>0</v>
      </c>
      <c r="AF84" s="66">
        <f t="shared" si="1"/>
        <v>0</v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A00-000000000000}">
      <formula1>"نعم,لا"</formula1>
    </dataValidation>
    <dataValidation type="list" allowBlank="1" sqref="G9" xr:uid="{00000000-0002-0000-0A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A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A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A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A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A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A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A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A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A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A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A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A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A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A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A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A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A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A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A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A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A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A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A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A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A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A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A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A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A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A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A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A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A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A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A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A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A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A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A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A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A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A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A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A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A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A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A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A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A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A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A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A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A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A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A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A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A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A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A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A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A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A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A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A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A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A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A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A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A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A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A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A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A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322"/>
  <sheetViews>
    <sheetView rightToLeft="1" workbookViewId="0">
      <selection sqref="A1:AG1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الشعب'!B10&lt;&gt;"نعم","صفحة غير مفعلة","سجل الفصل الأول – "&amp;'إعداد الشعب'!C10&amp;" – الصف "&amp;'إعداد الشعب'!D10&amp;" – شعبة "&amp;'إعداد الشعب'!E10&amp;" – "&amp;IF('إعداد الشعب'!F10="",الإعدادات!B6,'إعداد الشعب'!F10)))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الشعب'!C10</f>
        <v>0</v>
      </c>
      <c r="C2" s="22" t="s">
        <v>99</v>
      </c>
      <c r="D2">
        <f>'إعداد الشعب'!D10</f>
        <v>0</v>
      </c>
      <c r="E2" s="22" t="s">
        <v>100</v>
      </c>
      <c r="F2">
        <f>'إعداد الشعب'!E10</f>
        <v>0</v>
      </c>
      <c r="G2" s="22" t="s">
        <v>101</v>
      </c>
      <c r="H2" t="str">
        <f>IF('إعداد الشعب'!F10="",الإعدادات!B6,'إعداد الشعب'!F10)</f>
        <v>اسم المادة</v>
      </c>
      <c r="I2" s="22" t="s">
        <v>102</v>
      </c>
      <c r="J2" t="str">
        <f>IF('إعداد الشعب'!G10="",الإعدادات!B7,'إعداد الشعب'!G10)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07'!A50","سبتمبر")</f>
        <v>سبتمبر</v>
      </c>
      <c r="B7" s="73" t="str">
        <f>HYPERLINK("#'شعبة 07'!A96","أكتوبر")</f>
        <v>أكتوبر</v>
      </c>
      <c r="C7" s="73" t="str">
        <f>HYPERLINK("#'شعبة 07'!A142","نوفمبر")</f>
        <v>نوفمبر</v>
      </c>
      <c r="D7" s="73" t="str">
        <f>HYPERLINK("#'شعبة 07'!A188","ديسمبر")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B00-000000000000}">
      <formula1>"نعم,لا"</formula1>
    </dataValidation>
    <dataValidation type="list" allowBlank="1" sqref="G9" xr:uid="{00000000-0002-0000-0B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B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B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B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B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B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B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B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B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B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B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B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B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B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B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B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B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B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B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B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B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B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B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B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B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B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B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B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B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B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B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B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B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B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B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B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B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B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B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B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B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B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B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B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B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B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B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B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B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B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B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B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B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B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B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B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B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B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B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B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B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B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B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B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B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B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B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B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B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B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B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B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B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B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22"/>
  <sheetViews>
    <sheetView rightToLeft="1" workbookViewId="0">
      <selection sqref="A1:AG1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الشعب'!B11&lt;&gt;"نعم","صفحة غير مفعلة","سجل الفصل الأول – "&amp;'إعداد الشعب'!C11&amp;" – الصف "&amp;'إعداد الشعب'!D11&amp;" – شعبة "&amp;'إعداد الشعب'!E11&amp;" – "&amp;IF('إعداد الشعب'!F11="",الإعدادات!B6,'إعداد الشعب'!F11)))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الشعب'!C11</f>
        <v>0</v>
      </c>
      <c r="C2" s="22" t="s">
        <v>99</v>
      </c>
      <c r="D2">
        <f>'إعداد الشعب'!D11</f>
        <v>0</v>
      </c>
      <c r="E2" s="22" t="s">
        <v>100</v>
      </c>
      <c r="F2">
        <f>'إعداد الشعب'!E11</f>
        <v>0</v>
      </c>
      <c r="G2" s="22" t="s">
        <v>101</v>
      </c>
      <c r="H2" t="str">
        <f>IF('إعداد الشعب'!F11="",الإعدادات!B6,'إعداد الشعب'!F11)</f>
        <v>اسم المادة</v>
      </c>
      <c r="I2" s="22" t="s">
        <v>102</v>
      </c>
      <c r="J2" t="str">
        <f>IF('إعداد الشعب'!G11="",الإعدادات!B7,'إعداد الشعب'!G11)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08'!A50","سبتمبر")</f>
        <v>سبتمبر</v>
      </c>
      <c r="B7" s="73" t="str">
        <f>HYPERLINK("#'شعبة 08'!A96","أكتوبر")</f>
        <v>أكتوبر</v>
      </c>
      <c r="C7" s="73" t="str">
        <f>HYPERLINK("#'شعبة 08'!A142","نوفمبر")</f>
        <v>نوفمبر</v>
      </c>
      <c r="D7" s="73" t="str">
        <f>HYPERLINK("#'شعبة 08'!A188","ديسمبر")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C00-000000000000}">
      <formula1>"نعم,لا"</formula1>
    </dataValidation>
    <dataValidation type="list" allowBlank="1" sqref="G9" xr:uid="{00000000-0002-0000-0C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C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C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C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C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C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C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C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C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C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C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C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C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C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C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C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C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C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C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C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C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C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C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C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C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C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C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C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C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C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C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C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C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C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C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C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C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C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C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C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C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C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C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C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C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C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C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C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C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C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C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C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C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C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C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C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C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C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C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C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C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C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C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C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C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C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C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C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C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C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C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C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C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C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322"/>
  <sheetViews>
    <sheetView rightToLeft="1" workbookViewId="0">
      <selection sqref="A1:AG1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الشعب'!B12&lt;&gt;"نعم","صفحة غير مفعلة","سجل الفصل الأول – "&amp;'إعداد الشعب'!C12&amp;" – الصف "&amp;'إعداد الشعب'!D12&amp;" – شعبة "&amp;'إعداد الشعب'!E12&amp;" – "&amp;IF('إعداد الشعب'!F12="",الإعدادات!B6,'إعداد الشعب'!F12)))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الشعب'!C12</f>
        <v>0</v>
      </c>
      <c r="C2" s="22" t="s">
        <v>99</v>
      </c>
      <c r="D2">
        <f>'إعداد الشعب'!D12</f>
        <v>0</v>
      </c>
      <c r="E2" s="22" t="s">
        <v>100</v>
      </c>
      <c r="F2">
        <f>'إعداد الشعب'!E12</f>
        <v>0</v>
      </c>
      <c r="G2" s="22" t="s">
        <v>101</v>
      </c>
      <c r="H2" t="str">
        <f>IF('إعداد الشعب'!F12="",الإعدادات!B6,'إعداد الشعب'!F12)</f>
        <v>اسم المادة</v>
      </c>
      <c r="I2" s="22" t="s">
        <v>102</v>
      </c>
      <c r="J2" t="str">
        <f>IF('إعداد الشعب'!G12="",الإعدادات!B7,'إعداد الشعب'!G12)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09'!A50","سبتمبر")</f>
        <v>سبتمبر</v>
      </c>
      <c r="B7" s="73" t="str">
        <f>HYPERLINK("#'شعبة 09'!A96","أكتوبر")</f>
        <v>أكتوبر</v>
      </c>
      <c r="C7" s="73" t="str">
        <f>HYPERLINK("#'شعبة 09'!A142","نوفمبر")</f>
        <v>نوفمبر</v>
      </c>
      <c r="D7" s="73" t="str">
        <f>HYPERLINK("#'شعبة 09'!A188","ديسمبر")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D00-000000000000}">
      <formula1>"نعم,لا"</formula1>
    </dataValidation>
    <dataValidation type="list" allowBlank="1" sqref="G9" xr:uid="{00000000-0002-0000-0D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D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D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D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D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D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D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D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D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D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D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D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D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D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D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D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D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D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D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D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D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D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D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D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D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D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D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D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D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D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D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D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D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D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D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D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D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D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D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D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D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D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D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D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D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D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D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D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D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D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D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D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D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D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D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D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D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D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D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D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D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D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D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D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D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D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D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D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D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D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D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D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D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D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322"/>
  <sheetViews>
    <sheetView rightToLeft="1" workbookViewId="0">
      <selection sqref="A1:AG1"/>
    </sheetView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الشعب'!B13&lt;&gt;"نعم","صفحة غير مفعلة","سجل الفصل الأول – "&amp;'إعداد الشعب'!C13&amp;" – الصف "&amp;'إعداد الشعب'!D13&amp;" – شعبة "&amp;'إعداد الشعب'!E13&amp;" – "&amp;IF('إعداد الشعب'!F13="",الإعدادات!B6,'إعداد الشعب'!F13)))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الشعب'!C13</f>
        <v>0</v>
      </c>
      <c r="C2" s="22" t="s">
        <v>99</v>
      </c>
      <c r="D2">
        <f>'إعداد الشعب'!D13</f>
        <v>0</v>
      </c>
      <c r="E2" s="22" t="s">
        <v>100</v>
      </c>
      <c r="F2">
        <f>'إعداد الشعب'!E13</f>
        <v>0</v>
      </c>
      <c r="G2" s="22" t="s">
        <v>101</v>
      </c>
      <c r="H2" t="str">
        <f>IF('إعداد الشعب'!F13="",الإعدادات!B6,'إعداد الشعب'!F13)</f>
        <v>اسم المادة</v>
      </c>
      <c r="I2" s="22" t="s">
        <v>102</v>
      </c>
      <c r="J2" t="str">
        <f>IF('إعداد الشعب'!G13="",الإعدادات!B7,'إعداد الشعب'!G13)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10'!A50","سبتمبر")</f>
        <v>سبتمبر</v>
      </c>
      <c r="B7" s="73" t="str">
        <f>HYPERLINK("#'شعبة 10'!A96","أكتوبر")</f>
        <v>أكتوبر</v>
      </c>
      <c r="C7" s="73" t="str">
        <f>HYPERLINK("#'شعبة 10'!A142","نوفمبر")</f>
        <v>نوفمبر</v>
      </c>
      <c r="D7" s="73" t="str">
        <f>HYPERLINK("#'شعبة 10'!A188","ديسمبر")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E00-000000000000}">
      <formula1>"نعم,لا"</formula1>
    </dataValidation>
    <dataValidation type="list" allowBlank="1" sqref="G9" xr:uid="{00000000-0002-0000-0E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E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E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E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E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E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E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E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E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E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E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E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E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E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E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E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E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E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E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E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E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E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E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E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E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E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E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E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E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E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E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E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E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E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E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E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E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E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E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E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E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E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E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E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E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E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E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E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E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E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E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E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E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E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E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E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E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E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E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E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E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E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E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E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E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E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E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E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E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E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E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E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E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E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الشعب'!B14&lt;&gt;"نعم","صفحة غير مفعلة","سجل الفصل الأول – "&amp;'إعداد الشعب'!C14&amp;" – الصف "&amp;'إعداد الشعب'!D14&amp;" – شعبة "&amp;'إعداد الشعب'!E14&amp;" – "&amp;IF('إعداد الشعب'!F14="",الإعدادات!B6,'إعداد الشعب'!F14)))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الشعب'!C14</f>
        <v>0</v>
      </c>
      <c r="C2" s="22" t="s">
        <v>99</v>
      </c>
      <c r="D2">
        <f>'إعداد الشعب'!D14</f>
        <v>0</v>
      </c>
      <c r="E2" s="22" t="s">
        <v>100</v>
      </c>
      <c r="F2">
        <f>'إعداد الشعب'!E14</f>
        <v>0</v>
      </c>
      <c r="G2" s="22" t="s">
        <v>101</v>
      </c>
      <c r="H2" t="str">
        <f>IF('إعداد الشعب'!F14="",الإعدادات!B6,'إعداد الشعب'!F14)</f>
        <v>اسم المادة</v>
      </c>
      <c r="I2" s="22" t="s">
        <v>102</v>
      </c>
      <c r="J2" t="str">
        <f>IF('إعداد الشعب'!G14="",الإعدادات!B7,'إعداد الشعب'!G14)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11'!A50","سبتمبر")</f>
        <v>سبتمبر</v>
      </c>
      <c r="B7" s="73" t="str">
        <f>HYPERLINK("#'شعبة 11'!A96","أكتوبر")</f>
        <v>أكتوبر</v>
      </c>
      <c r="C7" s="73" t="str">
        <f>HYPERLINK("#'شعبة 11'!A142","نوفمبر")</f>
        <v>نوفمبر</v>
      </c>
      <c r="D7" s="73" t="str">
        <f>HYPERLINK("#'شعبة 11'!A188","ديسمبر")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0F00-000000000000}">
      <formula1>"نعم,لا"</formula1>
    </dataValidation>
    <dataValidation type="list" allowBlank="1" sqref="G9" xr:uid="{00000000-0002-0000-0F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0F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0F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0F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0F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0F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0F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0F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0F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0F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0F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0F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0F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0F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0F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0F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0F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0F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0F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0F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0F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0F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0F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0F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0F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0F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0F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0F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0F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0F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0F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0F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0F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0F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0F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0F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0F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0F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0F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0F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0F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0F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0F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0F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0F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0F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0F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0F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0F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0F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0F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0F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0F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0F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0F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0F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0F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0F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0F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0F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0F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0F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0F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0F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0F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0F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0F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0F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0F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0F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0F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0F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0F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0F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الشعب'!B15&lt;&gt;"نعم","صفحة غير مفعلة","سجل الفصل الأول – "&amp;'إعداد الشعب'!C15&amp;" – الصف "&amp;'إعداد الشعب'!D15&amp;" – شعبة "&amp;'إعداد الشعب'!E15&amp;" – "&amp;IF('إعداد الشعب'!F15="",الإعدادات!B6,'إعداد الشعب'!F15)))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الشعب'!C15</f>
        <v>0</v>
      </c>
      <c r="C2" s="22" t="s">
        <v>99</v>
      </c>
      <c r="D2">
        <f>'إعداد الشعب'!D15</f>
        <v>0</v>
      </c>
      <c r="E2" s="22" t="s">
        <v>100</v>
      </c>
      <c r="F2">
        <f>'إعداد الشعب'!E15</f>
        <v>0</v>
      </c>
      <c r="G2" s="22" t="s">
        <v>101</v>
      </c>
      <c r="H2" t="str">
        <f>IF('إعداد الشعب'!F15="",الإعدادات!B6,'إعداد الشعب'!F15)</f>
        <v>اسم المادة</v>
      </c>
      <c r="I2" s="22" t="s">
        <v>102</v>
      </c>
      <c r="J2" t="str">
        <f>IF('إعداد الشعب'!G15="",الإعدادات!B7,'إعداد الشعب'!G15)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12'!A50","سبتمبر")</f>
        <v>سبتمبر</v>
      </c>
      <c r="B7" s="73" t="str">
        <f>HYPERLINK("#'شعبة 12'!A96","أكتوبر")</f>
        <v>أكتوبر</v>
      </c>
      <c r="C7" s="73" t="str">
        <f>HYPERLINK("#'شعبة 12'!A142","نوفمبر")</f>
        <v>نوفمبر</v>
      </c>
      <c r="D7" s="73" t="str">
        <f>HYPERLINK("#'شعبة 12'!A188","ديسمبر")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000-000000000000}">
      <formula1>"نعم,لا"</formula1>
    </dataValidation>
    <dataValidation type="list" allowBlank="1" sqref="G9" xr:uid="{00000000-0002-0000-10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0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0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0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0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0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0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0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0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0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0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0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0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0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0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0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0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0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0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0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0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0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0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0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0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0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0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0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0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0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0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0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0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0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0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0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0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0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0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0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0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0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0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0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0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0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0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0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0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0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0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0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0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0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0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0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0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0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0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0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0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0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0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0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0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0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0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0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0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0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0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0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0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0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الشعب'!B16&lt;&gt;"نعم","صفحة غير مفعلة","سجل الفصل الأول – "&amp;'إعداد الشعب'!C16&amp;" – الصف "&amp;'إعداد الشعب'!D16&amp;" – شعبة "&amp;'إعداد الشعب'!E16&amp;" – "&amp;IF('إعداد الشعب'!F16="",الإعدادات!B6,'إعداد الشعب'!F16)))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الشعب'!C16</f>
        <v>0</v>
      </c>
      <c r="C2" s="22" t="s">
        <v>99</v>
      </c>
      <c r="D2">
        <f>'إعداد الشعب'!D16</f>
        <v>0</v>
      </c>
      <c r="E2" s="22" t="s">
        <v>100</v>
      </c>
      <c r="F2">
        <f>'إعداد الشعب'!E16</f>
        <v>0</v>
      </c>
      <c r="G2" s="22" t="s">
        <v>101</v>
      </c>
      <c r="H2" t="str">
        <f>IF('إعداد الشعب'!F16="",الإعدادات!B6,'إعداد الشعب'!F16)</f>
        <v>اسم المادة</v>
      </c>
      <c r="I2" s="22" t="s">
        <v>102</v>
      </c>
      <c r="J2" t="str">
        <f>IF('إعداد الشعب'!G16="",الإعدادات!B7,'إعداد الشعب'!G16)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13'!A50","سبتمبر")</f>
        <v>سبتمبر</v>
      </c>
      <c r="B7" s="73" t="str">
        <f>HYPERLINK("#'شعبة 13'!A96","أكتوبر")</f>
        <v>أكتوبر</v>
      </c>
      <c r="C7" s="73" t="str">
        <f>HYPERLINK("#'شعبة 13'!A142","نوفمبر")</f>
        <v>نوفمبر</v>
      </c>
      <c r="D7" s="73" t="str">
        <f>HYPERLINK("#'شعبة 13'!A188","ديسمبر")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100-000000000000}">
      <formula1>"نعم,لا"</formula1>
    </dataValidation>
    <dataValidation type="list" allowBlank="1" sqref="G9" xr:uid="{00000000-0002-0000-11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1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1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1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1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1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1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1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1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1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1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1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1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1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1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1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1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1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1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1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1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1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1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1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1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1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1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1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1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1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1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1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1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1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1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1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1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1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1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1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1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1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1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1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1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1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1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1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1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1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1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1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1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1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1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1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1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1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1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1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1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1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1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1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1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1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1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1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1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1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1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1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1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1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الشعب'!B17&lt;&gt;"نعم","صفحة غير مفعلة","سجل الفصل الأول – "&amp;'إعداد الشعب'!C17&amp;" – الصف "&amp;'إعداد الشعب'!D17&amp;" – شعبة "&amp;'إعداد الشعب'!E17&amp;" – "&amp;IF('إعداد الشعب'!F17="",الإعدادات!B6,'إعداد الشعب'!F17)))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الشعب'!C17</f>
        <v>0</v>
      </c>
      <c r="C2" s="22" t="s">
        <v>99</v>
      </c>
      <c r="D2">
        <f>'إعداد الشعب'!D17</f>
        <v>0</v>
      </c>
      <c r="E2" s="22" t="s">
        <v>100</v>
      </c>
      <c r="F2">
        <f>'إعداد الشعب'!E17</f>
        <v>0</v>
      </c>
      <c r="G2" s="22" t="s">
        <v>101</v>
      </c>
      <c r="H2" t="str">
        <f>IF('إعداد الشعب'!F17="",الإعدادات!B6,'إعداد الشعب'!F17)</f>
        <v>اسم المادة</v>
      </c>
      <c r="I2" s="22" t="s">
        <v>102</v>
      </c>
      <c r="J2" t="str">
        <f>IF('إعداد الشعب'!G17="",الإعدادات!B7,'إعداد الشعب'!G17)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14'!A50","سبتمبر")</f>
        <v>سبتمبر</v>
      </c>
      <c r="B7" s="73" t="str">
        <f>HYPERLINK("#'شعبة 14'!A96","أكتوبر")</f>
        <v>أكتوبر</v>
      </c>
      <c r="C7" s="73" t="str">
        <f>HYPERLINK("#'شعبة 14'!A142","نوفمبر")</f>
        <v>نوفمبر</v>
      </c>
      <c r="D7" s="73" t="str">
        <f>HYPERLINK("#'شعبة 14'!A188","ديسمبر")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200-000000000000}">
      <formula1>"نعم,لا"</formula1>
    </dataValidation>
    <dataValidation type="list" allowBlank="1" sqref="G9" xr:uid="{00000000-0002-0000-12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2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2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2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2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2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2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2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2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2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2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2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2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2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2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2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2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2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2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2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2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2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2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2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2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2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2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2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2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2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2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2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2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2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2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2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2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2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2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2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2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2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2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2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2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2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2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2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2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2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2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2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2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2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2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2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2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2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2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2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2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2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2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2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2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2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2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2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2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2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2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2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2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2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الشعب'!B18&lt;&gt;"نعم","صفحة غير مفعلة","سجل الفصل الأول – "&amp;'إعداد الشعب'!C18&amp;" – الصف "&amp;'إعداد الشعب'!D18&amp;" – شعبة "&amp;'إعداد الشعب'!E18&amp;" – "&amp;IF('إعداد الشعب'!F18="",الإعدادات!B6,'إعداد الشعب'!F18)))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الشعب'!C18</f>
        <v>0</v>
      </c>
      <c r="C2" s="22" t="s">
        <v>99</v>
      </c>
      <c r="D2">
        <f>'إعداد الشعب'!D18</f>
        <v>0</v>
      </c>
      <c r="E2" s="22" t="s">
        <v>100</v>
      </c>
      <c r="F2">
        <f>'إعداد الشعب'!E18</f>
        <v>0</v>
      </c>
      <c r="G2" s="22" t="s">
        <v>101</v>
      </c>
      <c r="H2" t="str">
        <f>IF('إعداد الشعب'!F18="",الإعدادات!B6,'إعداد الشعب'!F18)</f>
        <v>اسم المادة</v>
      </c>
      <c r="I2" s="22" t="s">
        <v>102</v>
      </c>
      <c r="J2" t="str">
        <f>IF('إعداد الشعب'!G18="",الإعدادات!B7,'إعداد الشعب'!G18)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15'!A50","سبتمبر")</f>
        <v>سبتمبر</v>
      </c>
      <c r="B7" s="73" t="str">
        <f>HYPERLINK("#'شعبة 15'!A96","أكتوبر")</f>
        <v>أكتوبر</v>
      </c>
      <c r="C7" s="73" t="str">
        <f>HYPERLINK("#'شعبة 15'!A142","نوفمبر")</f>
        <v>نوفمبر</v>
      </c>
      <c r="D7" s="73" t="str">
        <f>HYPERLINK("#'شعبة 15'!A188","ديسمبر")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300-000000000000}">
      <formula1>"نعم,لا"</formula1>
    </dataValidation>
    <dataValidation type="list" allowBlank="1" sqref="G9" xr:uid="{00000000-0002-0000-13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3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3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3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3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3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3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3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3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3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3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3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3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3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3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3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3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3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3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3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3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3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3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3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3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3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3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3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3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3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3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3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3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3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3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3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3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3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3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3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3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3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3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3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3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3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3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3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3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3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3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3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3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3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3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3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3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3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3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3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3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3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3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3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3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3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3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3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3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3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3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3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3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3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الشعب'!B19&lt;&gt;"نعم","صفحة غير مفعلة","سجل الفصل الأول – "&amp;'إعداد الشعب'!C19&amp;" – الصف "&amp;'إعداد الشعب'!D19&amp;" – شعبة "&amp;'إعداد الشعب'!E19&amp;" – "&amp;IF('إعداد الشعب'!F19="",الإعدادات!B6,'إعداد الشعب'!F19)))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الشعب'!C19</f>
        <v>0</v>
      </c>
      <c r="C2" s="22" t="s">
        <v>99</v>
      </c>
      <c r="D2">
        <f>'إعداد الشعب'!D19</f>
        <v>0</v>
      </c>
      <c r="E2" s="22" t="s">
        <v>100</v>
      </c>
      <c r="F2">
        <f>'إعداد الشعب'!E19</f>
        <v>0</v>
      </c>
      <c r="G2" s="22" t="s">
        <v>101</v>
      </c>
      <c r="H2" t="str">
        <f>IF('إعداد الشعب'!F19="",الإعدادات!B6,'إعداد الشعب'!F19)</f>
        <v>اسم المادة</v>
      </c>
      <c r="I2" s="22" t="s">
        <v>102</v>
      </c>
      <c r="J2" t="str">
        <f>IF('إعداد الشعب'!G19="",الإعدادات!B7,'إعداد الشعب'!G19)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16'!A50","سبتمبر")</f>
        <v>سبتمبر</v>
      </c>
      <c r="B7" s="73" t="str">
        <f>HYPERLINK("#'شعبة 16'!A96","أكتوبر")</f>
        <v>أكتوبر</v>
      </c>
      <c r="C7" s="73" t="str">
        <f>HYPERLINK("#'شعبة 16'!A142","نوفمبر")</f>
        <v>نوفمبر</v>
      </c>
      <c r="D7" s="73" t="str">
        <f>HYPERLINK("#'شعبة 16'!A188","ديسمبر")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400-000000000000}">
      <formula1>"نعم,لا"</formula1>
    </dataValidation>
    <dataValidation type="list" allowBlank="1" sqref="G9" xr:uid="{00000000-0002-0000-14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4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4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4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4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4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4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4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4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4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4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4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4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4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4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4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4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4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4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4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4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4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4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4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4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4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4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4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4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4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4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4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4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4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4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4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4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4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4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4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4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4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4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4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4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4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4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4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4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4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4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4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4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4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4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4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4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4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4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4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4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4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4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4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4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4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4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4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4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4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4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4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4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4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الشعب'!B20&lt;&gt;"نعم","صفحة غير مفعلة","سجل الفصل الأول – "&amp;'إعداد الشعب'!C20&amp;" – الصف "&amp;'إعداد الشعب'!D20&amp;" – شعبة "&amp;'إعداد الشعب'!E20&amp;" – "&amp;IF('إعداد الشعب'!F20="",الإعدادات!B6,'إعداد الشعب'!F20)))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الشعب'!C20</f>
        <v>0</v>
      </c>
      <c r="C2" s="22" t="s">
        <v>99</v>
      </c>
      <c r="D2">
        <f>'إعداد الشعب'!D20</f>
        <v>0</v>
      </c>
      <c r="E2" s="22" t="s">
        <v>100</v>
      </c>
      <c r="F2">
        <f>'إعداد الشعب'!E20</f>
        <v>0</v>
      </c>
      <c r="G2" s="22" t="s">
        <v>101</v>
      </c>
      <c r="H2" t="str">
        <f>IF('إعداد الشعب'!F20="",الإعدادات!B6,'إعداد الشعب'!F20)</f>
        <v>اسم المادة</v>
      </c>
      <c r="I2" s="22" t="s">
        <v>102</v>
      </c>
      <c r="J2" t="str">
        <f>IF('إعداد الشعب'!G20="",الإعدادات!B7,'إعداد الشعب'!G20)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17'!A50","سبتمبر")</f>
        <v>سبتمبر</v>
      </c>
      <c r="B7" s="73" t="str">
        <f>HYPERLINK("#'شعبة 17'!A96","أكتوبر")</f>
        <v>أكتوبر</v>
      </c>
      <c r="C7" s="73" t="str">
        <f>HYPERLINK("#'شعبة 17'!A142","نوفمبر")</f>
        <v>نوفمبر</v>
      </c>
      <c r="D7" s="73" t="str">
        <f>HYPERLINK("#'شعبة 17'!A188","ديسمبر")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500-000000000000}">
      <formula1>"نعم,لا"</formula1>
    </dataValidation>
    <dataValidation type="list" allowBlank="1" sqref="G9" xr:uid="{00000000-0002-0000-15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5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5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5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5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5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5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5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5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5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5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5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5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5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5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5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5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5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5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5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5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5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5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5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5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5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5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5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5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5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5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5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5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5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5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5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5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5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5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5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5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5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5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5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5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5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5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5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5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5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5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5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5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5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5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5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5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5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5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5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5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5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5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5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5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5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5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5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5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5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5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5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5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5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الشعب'!B21&lt;&gt;"نعم","صفحة غير مفعلة","سجل الفصل الأول – "&amp;'إعداد الشعب'!C21&amp;" – الصف "&amp;'إعداد الشعب'!D21&amp;" – شعبة "&amp;'إعداد الشعب'!E21&amp;" – "&amp;IF('إعداد الشعب'!F21="",الإعدادات!B6,'إعداد الشعب'!F21)))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الشعب'!C21</f>
        <v>0</v>
      </c>
      <c r="C2" s="22" t="s">
        <v>99</v>
      </c>
      <c r="D2">
        <f>'إعداد الشعب'!D21</f>
        <v>0</v>
      </c>
      <c r="E2" s="22" t="s">
        <v>100</v>
      </c>
      <c r="F2">
        <f>'إعداد الشعب'!E21</f>
        <v>0</v>
      </c>
      <c r="G2" s="22" t="s">
        <v>101</v>
      </c>
      <c r="H2" t="str">
        <f>IF('إعداد الشعب'!F21="",الإعدادات!B6,'إعداد الشعب'!F21)</f>
        <v>اسم المادة</v>
      </c>
      <c r="I2" s="22" t="s">
        <v>102</v>
      </c>
      <c r="J2" t="str">
        <f>IF('إعداد الشعب'!G21="",الإعدادات!B7,'إعداد الشعب'!G21)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18'!A50","سبتمبر")</f>
        <v>سبتمبر</v>
      </c>
      <c r="B7" s="73" t="str">
        <f>HYPERLINK("#'شعبة 18'!A96","أكتوبر")</f>
        <v>أكتوبر</v>
      </c>
      <c r="C7" s="73" t="str">
        <f>HYPERLINK("#'شعبة 18'!A142","نوفمبر")</f>
        <v>نوفمبر</v>
      </c>
      <c r="D7" s="73" t="str">
        <f>HYPERLINK("#'شعبة 18'!A188","ديسمبر")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600-000000000000}">
      <formula1>"نعم,لا"</formula1>
    </dataValidation>
    <dataValidation type="list" allowBlank="1" sqref="G9" xr:uid="{00000000-0002-0000-16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6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6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6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6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6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6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6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6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6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6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6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6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6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6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6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6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6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6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6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6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6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6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6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6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6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6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6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6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6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6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6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6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6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6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6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6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6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6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6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6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6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6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6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6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6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6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6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6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6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6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6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6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6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6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6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6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6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6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6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6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6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6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6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6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6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6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6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6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6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6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6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6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6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الشعب'!B22&lt;&gt;"نعم","صفحة غير مفعلة","سجل الفصل الأول – "&amp;'إعداد الشعب'!C22&amp;" – الصف "&amp;'إعداد الشعب'!D22&amp;" – شعبة "&amp;'إعداد الشعب'!E22&amp;" – "&amp;IF('إعداد الشعب'!F22="",الإعدادات!B6,'إعداد الشعب'!F22)))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الشعب'!C22</f>
        <v>0</v>
      </c>
      <c r="C2" s="22" t="s">
        <v>99</v>
      </c>
      <c r="D2">
        <f>'إعداد الشعب'!D22</f>
        <v>0</v>
      </c>
      <c r="E2" s="22" t="s">
        <v>100</v>
      </c>
      <c r="F2">
        <f>'إعداد الشعب'!E22</f>
        <v>0</v>
      </c>
      <c r="G2" s="22" t="s">
        <v>101</v>
      </c>
      <c r="H2" t="str">
        <f>IF('إعداد الشعب'!F22="",الإعدادات!B6,'إعداد الشعب'!F22)</f>
        <v>اسم المادة</v>
      </c>
      <c r="I2" s="22" t="s">
        <v>102</v>
      </c>
      <c r="J2" t="str">
        <f>IF('إعداد الشعب'!G22="",الإعدادات!B7,'إعداد الشعب'!G22)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19'!A50","سبتمبر")</f>
        <v>سبتمبر</v>
      </c>
      <c r="B7" s="73" t="str">
        <f>HYPERLINK("#'شعبة 19'!A96","أكتوبر")</f>
        <v>أكتوبر</v>
      </c>
      <c r="C7" s="73" t="str">
        <f>HYPERLINK("#'شعبة 19'!A142","نوفمبر")</f>
        <v>نوفمبر</v>
      </c>
      <c r="D7" s="73" t="str">
        <f>HYPERLINK("#'شعبة 19'!A188","ديسمبر")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700-000000000000}">
      <formula1>"نعم,لا"</formula1>
    </dataValidation>
    <dataValidation type="list" allowBlank="1" sqref="G9" xr:uid="{00000000-0002-0000-17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7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7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7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7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7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7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7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7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7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7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7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7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7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7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7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7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7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7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7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7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7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7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7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7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7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7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7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7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7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7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7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7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7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7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7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7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7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7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7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7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7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7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7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7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7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7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7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7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7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7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7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7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7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7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7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7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7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7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7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7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7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7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7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7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7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7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7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7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7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7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7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7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7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322"/>
  <sheetViews>
    <sheetView workbookViewId="0"/>
  </sheetViews>
  <sheetFormatPr defaultRowHeight="14.25"/>
  <cols>
    <col min="1" max="1" width="7" customWidth="1"/>
    <col min="2" max="2" width="24" customWidth="1"/>
    <col min="3" max="22" width="11" customWidth="1"/>
    <col min="23" max="33" width="13" customWidth="1"/>
  </cols>
  <sheetData>
    <row r="1" spans="1:33" ht="20.25">
      <c r="A1" s="87" t="str">
        <f>HYPERLINK("#'لوحة الشعب'!A1","⌂ "&amp;IF('إعداد الشعب'!B23&lt;&gt;"نعم","صفحة غير مفعلة","سجل الفصل الأول – "&amp;'إعداد الشعب'!C23&amp;" – الصف "&amp;'إعداد الشعب'!D23&amp;" – شعبة "&amp;'إعداد الشعب'!E23&amp;" – "&amp;IF('إعداد الشعب'!F23="",الإعدادات!B6,'إعداد الشعب'!F23)))</f>
        <v>⌂ صفحة غير مفعلة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</row>
    <row r="2" spans="1:33">
      <c r="A2" s="22" t="s">
        <v>98</v>
      </c>
      <c r="B2">
        <f>'إعداد الشعب'!C23</f>
        <v>0</v>
      </c>
      <c r="C2" s="22" t="s">
        <v>99</v>
      </c>
      <c r="D2">
        <f>'إعداد الشعب'!D23</f>
        <v>0</v>
      </c>
      <c r="E2" s="22" t="s">
        <v>100</v>
      </c>
      <c r="F2">
        <f>'إعداد الشعب'!E23</f>
        <v>0</v>
      </c>
      <c r="G2" s="22" t="s">
        <v>101</v>
      </c>
      <c r="H2" t="str">
        <f>IF('إعداد الشعب'!F23="",الإعدادات!B6,'إعداد الشعب'!F23)</f>
        <v>اسم المادة</v>
      </c>
      <c r="I2" s="22" t="s">
        <v>102</v>
      </c>
      <c r="J2" t="str">
        <f>IF('إعداد الشعب'!G23="",الإعدادات!B7,'إعداد الشعب'!G23)</f>
        <v>اسم المعلم</v>
      </c>
    </row>
    <row r="4" spans="1:33">
      <c r="A4" s="88" t="s">
        <v>113</v>
      </c>
      <c r="B4" s="89"/>
      <c r="C4" s="88" t="s">
        <v>8</v>
      </c>
      <c r="D4" s="89"/>
      <c r="E4" s="88" t="s">
        <v>9</v>
      </c>
      <c r="F4" s="89"/>
      <c r="G4" s="88" t="s">
        <v>10</v>
      </c>
      <c r="H4" s="89"/>
      <c r="I4" s="88" t="s">
        <v>11</v>
      </c>
      <c r="J4" s="89"/>
      <c r="K4" s="88" t="s">
        <v>114</v>
      </c>
      <c r="L4" s="89"/>
    </row>
    <row r="5" spans="1:33">
      <c r="A5" s="90">
        <f>COUNTIFS(B9:B48,"&lt;&gt;",C9:C48,"&lt;&gt;لا")</f>
        <v>0</v>
      </c>
      <c r="B5" s="89"/>
      <c r="C5" s="90">
        <f>SUM(AF53:AF92)+SUM(Z99:Z138)+SUM(AF145:AF184)+SUM(W191:W230)</f>
        <v>0</v>
      </c>
      <c r="D5" s="89"/>
      <c r="E5" s="90">
        <f>SUM(AB53:AB92)+SUM(V99:V138)+SUM(AB145:AB184)+SUM(S191:S230)</f>
        <v>0</v>
      </c>
      <c r="F5" s="89"/>
      <c r="G5" s="90">
        <f>SUM(Z53:Z92)+SUM(T99:T138)+SUM(Z145:Z184)+SUM(Q191:Q230)</f>
        <v>0</v>
      </c>
      <c r="H5" s="89"/>
      <c r="I5" s="90">
        <f>SUM(AD53:AD92)+SUM(X99:X138)+SUM(AD145:AD184)+SUM(U191:U230)</f>
        <v>0</v>
      </c>
      <c r="J5" s="89"/>
      <c r="K5" s="90">
        <f>SUM(AE53:AE92)+SUM(Y99:Y138)+SUM(AE145:AE184)+SUM(V191:V230)</f>
        <v>0</v>
      </c>
      <c r="L5" s="89"/>
    </row>
    <row r="6" spans="1:3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3" ht="26.1" customHeight="1">
      <c r="A7" s="72" t="str">
        <f>HYPERLINK("#'شعبة 20'!A50","سبتمبر")</f>
        <v>سبتمبر</v>
      </c>
      <c r="B7" s="73" t="str">
        <f>HYPERLINK("#'شعبة 20'!A96","أكتوبر")</f>
        <v>أكتوبر</v>
      </c>
      <c r="C7" s="73" t="str">
        <f>HYPERLINK("#'شعبة 20'!A142","نوفمبر")</f>
        <v>نوفمبر</v>
      </c>
      <c r="D7" s="73" t="str">
        <f>HYPERLINK("#'شعبة 20'!A188","ديسمبر")</f>
        <v>ديسمبر</v>
      </c>
      <c r="E7" s="74" t="str">
        <f>HYPERLINK("#'لوحة الشعب'!A1","لوحة الشعب")</f>
        <v>لوحة الشعب</v>
      </c>
      <c r="F7" s="47"/>
      <c r="G7" s="49"/>
    </row>
    <row r="8" spans="1:33" ht="15">
      <c r="A8" s="7" t="s">
        <v>116</v>
      </c>
      <c r="B8" s="7" t="s">
        <v>117</v>
      </c>
      <c r="C8" s="7" t="s">
        <v>118</v>
      </c>
      <c r="D8" s="7" t="s">
        <v>105</v>
      </c>
      <c r="F8" s="92" t="s">
        <v>119</v>
      </c>
      <c r="G8" s="92"/>
      <c r="H8" s="92"/>
      <c r="I8" s="92"/>
      <c r="J8" s="92"/>
      <c r="K8" s="92"/>
      <c r="L8" s="92"/>
      <c r="M8" s="36"/>
      <c r="N8" s="36"/>
    </row>
    <row r="9" spans="1:33" ht="15">
      <c r="A9" s="8">
        <v>1</v>
      </c>
      <c r="B9" s="24"/>
      <c r="C9" s="16"/>
      <c r="D9" s="10"/>
      <c r="F9" s="61" t="s">
        <v>120</v>
      </c>
      <c r="G9" s="89"/>
      <c r="H9" s="89"/>
      <c r="I9" s="89"/>
      <c r="J9" s="89"/>
      <c r="K9" s="89"/>
      <c r="L9" s="89"/>
    </row>
    <row r="10" spans="1:33" ht="15">
      <c r="A10" s="11">
        <v>2</v>
      </c>
      <c r="B10" s="25"/>
      <c r="C10" s="17"/>
      <c r="D10" s="12"/>
      <c r="F10" s="62" t="s">
        <v>121</v>
      </c>
      <c r="G10" s="62" t="s">
        <v>122</v>
      </c>
      <c r="H10" s="62" t="s">
        <v>123</v>
      </c>
      <c r="I10" s="62" t="s">
        <v>124</v>
      </c>
      <c r="J10" s="62" t="s">
        <v>125</v>
      </c>
      <c r="K10" s="62" t="s">
        <v>109</v>
      </c>
      <c r="L10" s="37"/>
      <c r="M10" s="37"/>
    </row>
    <row r="11" spans="1:33" ht="15">
      <c r="A11" s="11">
        <v>3</v>
      </c>
      <c r="B11" s="25"/>
      <c r="C11" s="17"/>
      <c r="D11" s="12"/>
      <c r="F11" s="69" t="str">
        <f>الإعدادات!H4</f>
        <v>كتاب</v>
      </c>
      <c r="G11" s="9" t="str">
        <f>IF($G$9="","",SUMIF($B$53:$B$92,$G$9,$Y$53:$Y$92))</f>
        <v/>
      </c>
      <c r="H11" s="9" t="str">
        <f>IF($G$9="","",SUMIF($B$99:$B$138,$G$9,$S$99:$S$138))</f>
        <v/>
      </c>
      <c r="I11" s="9" t="str">
        <f>IF($G$9="","",SUMIF($B$145:$B$184,$G$9,$Y$145:$Y$184))</f>
        <v/>
      </c>
      <c r="J11" s="9" t="str">
        <f>IF($G$9="","",SUMIF($B$191:$B$230,$G$9,$P$191:$P$230))</f>
        <v/>
      </c>
      <c r="K11" s="10">
        <f t="shared" ref="K11:K17" si="0">SUM(G11:J11)</f>
        <v>0</v>
      </c>
      <c r="L11" s="9"/>
      <c r="M11" s="10"/>
    </row>
    <row r="12" spans="1:33" ht="15">
      <c r="A12" s="11">
        <v>4</v>
      </c>
      <c r="B12" s="25"/>
      <c r="C12" s="17"/>
      <c r="D12" s="12"/>
      <c r="F12" s="70" t="str">
        <f>الإعدادات!H5</f>
        <v>نوم</v>
      </c>
      <c r="G12" t="str">
        <f>IF($G$9="","",SUMIF($B$53:$B$92,$G$9,$Z$53:$Z$92))</f>
        <v/>
      </c>
      <c r="H12" t="str">
        <f>IF($G$9="","",SUMIF($B$99:$B$138,$G$9,$T$99:$T$138))</f>
        <v/>
      </c>
      <c r="I12" t="str">
        <f>IF($G$9="","",SUMIF($B$145:$B$184,$G$9,$Z$145:$Z$184))</f>
        <v/>
      </c>
      <c r="J12" t="str">
        <f>IF($G$9="","",SUMIF($B$191:$B$230,$G$9,$Q$191:$Q$230))</f>
        <v/>
      </c>
      <c r="K12" s="12">
        <f t="shared" si="0"/>
        <v>0</v>
      </c>
      <c r="M12" s="12"/>
    </row>
    <row r="13" spans="1:33" ht="15">
      <c r="A13" s="11">
        <v>5</v>
      </c>
      <c r="B13" s="25"/>
      <c r="C13" s="17"/>
      <c r="D13" s="12"/>
      <c r="F13" s="70" t="str">
        <f>الإعدادات!H6</f>
        <v>سلوك</v>
      </c>
      <c r="G13" t="str">
        <f>IF($G$9="","",SUMIF($B$53:$B$92,$G$9,$AA$53:$AA$92))</f>
        <v/>
      </c>
      <c r="H13" t="str">
        <f>IF($G$9="","",SUMIF($B$99:$B$138,$G$9,$U$99:$U$138))</f>
        <v/>
      </c>
      <c r="I13" t="str">
        <f>IF($G$9="","",SUMIF($B$145:$B$184,$G$9,$AA$145:$AA$184))</f>
        <v/>
      </c>
      <c r="J13" t="str">
        <f>IF($G$9="","",SUMIF($B$191:$B$230,$G$9,$R$191:$R$230))</f>
        <v/>
      </c>
      <c r="K13" s="12">
        <f t="shared" si="0"/>
        <v>0</v>
      </c>
      <c r="M13" s="12"/>
    </row>
    <row r="14" spans="1:33" ht="15">
      <c r="A14" s="11">
        <v>6</v>
      </c>
      <c r="B14" s="25"/>
      <c r="C14" s="17"/>
      <c r="D14" s="12"/>
      <c r="F14" s="70" t="str">
        <f>الإعدادات!H7</f>
        <v>غياب</v>
      </c>
      <c r="G14" t="str">
        <f>IF($G$9="","",SUMIF($B$53:$B$92,$G$9,$AB$53:$AB$92))</f>
        <v/>
      </c>
      <c r="H14" t="str">
        <f>IF($G$9="","",SUMIF($B$99:$B$138,$G$9,$V$99:$V$138))</f>
        <v/>
      </c>
      <c r="I14" t="str">
        <f>IF($G$9="","",SUMIF($B$145:$B$184,$G$9,$AB$145:$AB$184))</f>
        <v/>
      </c>
      <c r="J14" t="str">
        <f>IF($G$9="","",SUMIF($B$191:$B$230,$G$9,$S$191:$S$230))</f>
        <v/>
      </c>
      <c r="K14" s="12">
        <f t="shared" si="0"/>
        <v>0</v>
      </c>
      <c r="M14" s="12"/>
    </row>
    <row r="15" spans="1:33" ht="15">
      <c r="A15" s="11">
        <v>7</v>
      </c>
      <c r="B15" s="25"/>
      <c r="C15" s="17"/>
      <c r="D15" s="12"/>
      <c r="F15" s="70" t="str">
        <f>الإعدادات!H8</f>
        <v>تأخر</v>
      </c>
      <c r="G15" t="str">
        <f>IF($G$9="","",SUMIF($B$53:$B$92,$G$9,$AC$53:$AC$92))</f>
        <v/>
      </c>
      <c r="H15" t="str">
        <f>IF($G$9="","",SUMIF($B$99:$B$138,$G$9,$W$99:$W$138))</f>
        <v/>
      </c>
      <c r="I15" t="str">
        <f>IF($G$9="","",SUMIF($B$145:$B$184,$G$9,$AC$145:$AC$184))</f>
        <v/>
      </c>
      <c r="J15" t="str">
        <f>IF($G$9="","",SUMIF($B$191:$B$230,$G$9,$T$191:$T$230))</f>
        <v/>
      </c>
      <c r="K15" s="12">
        <f t="shared" si="0"/>
        <v>0</v>
      </c>
      <c r="M15" s="12"/>
    </row>
    <row r="16" spans="1:33" ht="15">
      <c r="A16" s="11">
        <v>8</v>
      </c>
      <c r="B16" s="25"/>
      <c r="C16" s="17"/>
      <c r="D16" s="12"/>
      <c r="F16" s="70" t="str">
        <f>الإعدادات!H9</f>
        <v>حل الواجبات</v>
      </c>
      <c r="G16" t="str">
        <f>IF($G$9="","",SUMIF($B$53:$B$92,$G$9,$AD$53:$AD$92))</f>
        <v/>
      </c>
      <c r="H16" t="str">
        <f>IF($G$9="","",SUMIF($B$99:$B$138,$G$9,$X$99:$X$138))</f>
        <v/>
      </c>
      <c r="I16" t="str">
        <f>IF($G$9="","",SUMIF($B$145:$B$184,$G$9,$AD$145:$AD$184))</f>
        <v/>
      </c>
      <c r="J16" t="str">
        <f>IF($G$9="","",SUMIF($B$191:$B$230,$G$9,$U$191:$U$230))</f>
        <v/>
      </c>
      <c r="K16" s="12">
        <f t="shared" si="0"/>
        <v>0</v>
      </c>
      <c r="M16" s="12"/>
    </row>
    <row r="17" spans="1:14" ht="15">
      <c r="A17" s="11">
        <v>9</v>
      </c>
      <c r="B17" s="25"/>
      <c r="C17" s="17"/>
      <c r="D17" s="12"/>
      <c r="F17" s="71" t="str">
        <f>الإعدادات!H10</f>
        <v>تميز ★</v>
      </c>
      <c r="G17" s="14" t="str">
        <f>IF($G$9="","",SUMIF($B$53:$B$92,$G$9,$AE$53:$AE$92))</f>
        <v/>
      </c>
      <c r="H17" s="14" t="str">
        <f>IF($G$9="","",SUMIF($B$99:$B$138,$G$9,$Y$99:$Y$138))</f>
        <v/>
      </c>
      <c r="I17" s="14" t="str">
        <f>IF($G$9="","",SUMIF($B$145:$B$184,$G$9,$AE$145:$AE$184))</f>
        <v/>
      </c>
      <c r="J17" s="14" t="str">
        <f>IF($G$9="","",SUMIF($B$191:$B$230,$G$9,$V$191:$V$230))</f>
        <v/>
      </c>
      <c r="K17" s="15">
        <f t="shared" si="0"/>
        <v>0</v>
      </c>
      <c r="L17" s="14"/>
      <c r="M17" s="15"/>
    </row>
    <row r="18" spans="1:14">
      <c r="A18" s="11">
        <v>10</v>
      </c>
      <c r="B18" s="25"/>
      <c r="C18" s="17"/>
      <c r="D18" s="12"/>
    </row>
    <row r="19" spans="1:14" ht="15">
      <c r="A19" s="11">
        <v>11</v>
      </c>
      <c r="B19" s="25"/>
      <c r="C19" s="17"/>
      <c r="D19" s="12"/>
      <c r="F19" s="93" t="s">
        <v>126</v>
      </c>
      <c r="G19" s="93"/>
      <c r="H19" s="93"/>
      <c r="I19" s="93"/>
      <c r="J19" s="93"/>
      <c r="K19" s="93"/>
      <c r="L19" s="93"/>
      <c r="M19" s="45"/>
      <c r="N19" s="45"/>
    </row>
    <row r="20" spans="1:14" ht="15">
      <c r="A20" s="11">
        <v>12</v>
      </c>
      <c r="B20" s="25"/>
      <c r="C20" s="17"/>
      <c r="D20" s="12"/>
      <c r="F20" s="93"/>
      <c r="G20" s="93"/>
      <c r="H20" s="93"/>
      <c r="I20" s="93"/>
      <c r="J20" s="93"/>
      <c r="K20" s="93"/>
      <c r="L20" s="93"/>
      <c r="M20" s="45"/>
      <c r="N20" s="45"/>
    </row>
    <row r="21" spans="1:14" ht="15">
      <c r="A21" s="11">
        <v>13</v>
      </c>
      <c r="B21" s="25"/>
      <c r="C21" s="17"/>
      <c r="D21" s="12"/>
      <c r="F21" s="93"/>
      <c r="G21" s="93"/>
      <c r="H21" s="93"/>
      <c r="I21" s="93"/>
      <c r="J21" s="93"/>
      <c r="K21" s="93"/>
      <c r="L21" s="93"/>
      <c r="M21" s="45"/>
      <c r="N21" s="45"/>
    </row>
    <row r="22" spans="1:14" ht="15">
      <c r="A22" s="11">
        <v>14</v>
      </c>
      <c r="B22" s="25"/>
      <c r="C22" s="17"/>
      <c r="D22" s="12"/>
      <c r="F22" s="93"/>
      <c r="G22" s="93"/>
      <c r="H22" s="93"/>
      <c r="I22" s="93"/>
      <c r="J22" s="93"/>
      <c r="K22" s="93"/>
      <c r="L22" s="93"/>
      <c r="M22" s="45"/>
      <c r="N22" s="45"/>
    </row>
    <row r="23" spans="1:14">
      <c r="A23" s="11">
        <v>15</v>
      </c>
      <c r="B23" s="25"/>
      <c r="C23" s="17"/>
      <c r="D23" s="12"/>
    </row>
    <row r="24" spans="1:14" ht="26.1" customHeight="1">
      <c r="A24" s="46">
        <v>16</v>
      </c>
      <c r="B24" s="47"/>
      <c r="C24" s="47"/>
      <c r="D24" s="48"/>
      <c r="E24" s="47"/>
      <c r="F24" s="47"/>
      <c r="G24" s="49"/>
    </row>
    <row r="25" spans="1:14">
      <c r="A25" s="11">
        <v>17</v>
      </c>
      <c r="B25" s="25"/>
      <c r="C25" s="17"/>
      <c r="D25" s="12"/>
    </row>
    <row r="26" spans="1:14">
      <c r="A26" s="11">
        <v>18</v>
      </c>
      <c r="B26" s="25"/>
      <c r="C26" s="17"/>
      <c r="D26" s="12"/>
    </row>
    <row r="27" spans="1:14">
      <c r="A27" s="11">
        <v>19</v>
      </c>
      <c r="B27" s="25"/>
      <c r="C27" s="17"/>
      <c r="D27" s="12"/>
    </row>
    <row r="28" spans="1:14">
      <c r="A28" s="11">
        <v>20</v>
      </c>
      <c r="B28" s="25"/>
      <c r="C28" s="17"/>
      <c r="D28" s="12"/>
    </row>
    <row r="29" spans="1:14">
      <c r="A29" s="11">
        <v>21</v>
      </c>
      <c r="B29" s="25"/>
      <c r="C29" s="17"/>
      <c r="D29" s="12"/>
    </row>
    <row r="30" spans="1:14">
      <c r="A30" s="11">
        <v>22</v>
      </c>
      <c r="B30" s="25"/>
      <c r="C30" s="17"/>
      <c r="D30" s="12"/>
    </row>
    <row r="31" spans="1:14">
      <c r="A31" s="11">
        <v>23</v>
      </c>
      <c r="B31" s="25"/>
      <c r="C31" s="17"/>
      <c r="D31" s="12"/>
    </row>
    <row r="32" spans="1:14">
      <c r="A32" s="11">
        <v>24</v>
      </c>
      <c r="B32" s="25"/>
      <c r="C32" s="17"/>
      <c r="D32" s="12"/>
    </row>
    <row r="33" spans="1:4">
      <c r="A33" s="11">
        <v>25</v>
      </c>
      <c r="B33" s="25"/>
      <c r="C33" s="17"/>
      <c r="D33" s="12"/>
    </row>
    <row r="34" spans="1:4">
      <c r="A34" s="11">
        <v>26</v>
      </c>
      <c r="B34" s="25"/>
      <c r="C34" s="17"/>
      <c r="D34" s="12"/>
    </row>
    <row r="35" spans="1:4">
      <c r="A35" s="11">
        <v>27</v>
      </c>
      <c r="B35" s="25"/>
      <c r="C35" s="17"/>
      <c r="D35" s="12"/>
    </row>
    <row r="36" spans="1:4">
      <c r="A36" s="11">
        <v>28</v>
      </c>
      <c r="B36" s="25"/>
      <c r="C36" s="17"/>
      <c r="D36" s="12"/>
    </row>
    <row r="37" spans="1:4">
      <c r="A37" s="11">
        <v>29</v>
      </c>
      <c r="B37" s="25"/>
      <c r="C37" s="17"/>
      <c r="D37" s="12"/>
    </row>
    <row r="38" spans="1:4">
      <c r="A38" s="11">
        <v>30</v>
      </c>
      <c r="B38" s="25"/>
      <c r="C38" s="17"/>
      <c r="D38" s="12"/>
    </row>
    <row r="39" spans="1:4">
      <c r="A39" s="11">
        <v>31</v>
      </c>
      <c r="B39" s="25"/>
      <c r="C39" s="17"/>
      <c r="D39" s="12"/>
    </row>
    <row r="40" spans="1:4">
      <c r="A40" s="11">
        <v>32</v>
      </c>
      <c r="B40" s="25"/>
      <c r="C40" s="17"/>
      <c r="D40" s="12"/>
    </row>
    <row r="41" spans="1:4">
      <c r="A41" s="11">
        <v>33</v>
      </c>
      <c r="B41" s="25"/>
      <c r="C41" s="17"/>
      <c r="D41" s="12"/>
    </row>
    <row r="42" spans="1:4">
      <c r="A42" s="11">
        <v>34</v>
      </c>
      <c r="B42" s="25"/>
      <c r="C42" s="17"/>
      <c r="D42" s="12"/>
    </row>
    <row r="43" spans="1:4">
      <c r="A43" s="11">
        <v>35</v>
      </c>
      <c r="B43" s="25"/>
      <c r="C43" s="17"/>
      <c r="D43" s="12"/>
    </row>
    <row r="44" spans="1:4">
      <c r="A44" s="11">
        <v>36</v>
      </c>
      <c r="B44" s="25"/>
      <c r="C44" s="17"/>
      <c r="D44" s="12"/>
    </row>
    <row r="45" spans="1:4">
      <c r="A45" s="11">
        <v>37</v>
      </c>
      <c r="B45" s="25"/>
      <c r="C45" s="17"/>
      <c r="D45" s="12"/>
    </row>
    <row r="46" spans="1:4">
      <c r="A46" s="11">
        <v>38</v>
      </c>
      <c r="B46" s="25"/>
      <c r="C46" s="17"/>
      <c r="D46" s="12"/>
    </row>
    <row r="47" spans="1:4">
      <c r="A47" s="11">
        <v>39</v>
      </c>
      <c r="B47" s="25"/>
      <c r="C47" s="17"/>
      <c r="D47" s="12"/>
    </row>
    <row r="48" spans="1:4">
      <c r="A48" s="13">
        <v>40</v>
      </c>
      <c r="B48" s="26"/>
      <c r="C48" s="18"/>
      <c r="D48" s="15"/>
    </row>
    <row r="50" spans="1:32" ht="16.5">
      <c r="A50" s="91" t="s">
        <v>127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</row>
    <row r="51" spans="1:32">
      <c r="A51" s="92" t="s">
        <v>128</v>
      </c>
      <c r="B51" s="92"/>
      <c r="C51" s="92" t="s">
        <v>129</v>
      </c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 t="s">
        <v>130</v>
      </c>
      <c r="Z51" s="92"/>
      <c r="AA51" s="92"/>
      <c r="AB51" s="92"/>
      <c r="AC51" s="92"/>
      <c r="AD51" s="92"/>
      <c r="AE51" s="92"/>
      <c r="AF51" s="92"/>
    </row>
    <row r="52" spans="1:32" ht="38.1" customHeight="1">
      <c r="A52" s="62" t="s">
        <v>116</v>
      </c>
      <c r="B52" s="62" t="s">
        <v>117</v>
      </c>
      <c r="C52" s="62" t="s">
        <v>131</v>
      </c>
      <c r="D52" s="62" t="s">
        <v>132</v>
      </c>
      <c r="E52" s="62" t="s">
        <v>133</v>
      </c>
      <c r="F52" s="62" t="s">
        <v>134</v>
      </c>
      <c r="G52" s="62" t="s">
        <v>135</v>
      </c>
      <c r="H52" s="62" t="s">
        <v>136</v>
      </c>
      <c r="I52" s="62" t="s">
        <v>137</v>
      </c>
      <c r="J52" s="62" t="s">
        <v>138</v>
      </c>
      <c r="K52" s="62" t="s">
        <v>139</v>
      </c>
      <c r="L52" s="62" t="s">
        <v>140</v>
      </c>
      <c r="M52" s="62" t="s">
        <v>141</v>
      </c>
      <c r="N52" s="62" t="s">
        <v>142</v>
      </c>
      <c r="O52" s="62" t="s">
        <v>143</v>
      </c>
      <c r="P52" s="62" t="s">
        <v>144</v>
      </c>
      <c r="Q52" s="62" t="s">
        <v>145</v>
      </c>
      <c r="R52" s="62" t="s">
        <v>146</v>
      </c>
      <c r="S52" s="62" t="s">
        <v>147</v>
      </c>
      <c r="T52" s="62" t="s">
        <v>148</v>
      </c>
      <c r="U52" s="62" t="s">
        <v>149</v>
      </c>
      <c r="V52" s="62" t="s">
        <v>150</v>
      </c>
      <c r="W52" s="62" t="s">
        <v>151</v>
      </c>
      <c r="X52" s="62" t="s">
        <v>152</v>
      </c>
      <c r="Y52" s="62" t="str">
        <f>الإعدادات!H4</f>
        <v>كتاب</v>
      </c>
      <c r="Z52" s="62" t="str">
        <f>الإعدادات!H5</f>
        <v>نوم</v>
      </c>
      <c r="AA52" s="62" t="str">
        <f>الإعدادات!H6</f>
        <v>سلوك</v>
      </c>
      <c r="AB52" s="62" t="str">
        <f>الإعدادات!H7</f>
        <v>غياب</v>
      </c>
      <c r="AC52" s="62" t="str">
        <f>الإعدادات!H8</f>
        <v>تأخر</v>
      </c>
      <c r="AD52" s="62" t="str">
        <f>الإعدادات!H9</f>
        <v>حل الواجبات</v>
      </c>
      <c r="AE52" s="62" t="str">
        <f>الإعدادات!H10</f>
        <v>تميز ★</v>
      </c>
      <c r="AF52" s="62" t="s">
        <v>110</v>
      </c>
    </row>
    <row r="53" spans="1:32">
      <c r="A53" s="8" t="str">
        <f>IF(OR($B$9="",$C$9="لا"),"",$A$9)</f>
        <v/>
      </c>
      <c r="B53" s="9" t="str">
        <f>IF(OR($B$9="",$C$9="لا"),"",$B$9)</f>
        <v/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28"/>
      <c r="Y53" s="63" t="str">
        <f>IF($B53="","",COUNTIF($C53:$X53,الإعدادات!$H$4))</f>
        <v/>
      </c>
      <c r="Z53" s="63" t="str">
        <f>IF($B53="","",COUNTIF($C53:$X53,الإعدادات!$H$5))</f>
        <v/>
      </c>
      <c r="AA53" s="63" t="str">
        <f>IF($B53="","",COUNTIF($C53:$X53,الإعدادات!$H$6))</f>
        <v/>
      </c>
      <c r="AB53" s="63" t="str">
        <f>IF($B53="","",COUNTIF($C53:$X53,الإعدادات!$H$7))</f>
        <v/>
      </c>
      <c r="AC53" s="63" t="str">
        <f>IF($B53="","",COUNTIF($C53:$X53,الإعدادات!$H$8))</f>
        <v/>
      </c>
      <c r="AD53" s="63" t="str">
        <f>IF($B53="","",COUNTIF($C53:$X53,الإعدادات!$H$9))</f>
        <v/>
      </c>
      <c r="AE53" s="64" t="str">
        <f>IF($B53="","",COUNTIF($C53:$X53,الإعدادات!$H$10))</f>
        <v/>
      </c>
      <c r="AF53" s="64" t="str">
        <f t="shared" ref="AF53:AF92" si="1">IF($B53="","",SUM(Y53:AC53))</f>
        <v/>
      </c>
    </row>
    <row r="54" spans="1:32">
      <c r="A54" s="11" t="str">
        <f>IF(OR($B$10="",$C$10="لا"),"",$A$10)</f>
        <v/>
      </c>
      <c r="B54" t="str">
        <f>IF(OR($B$10="",$C$10="لا"),"",$B$10)</f>
        <v/>
      </c>
      <c r="X54" s="30"/>
      <c r="Y54" s="65" t="str">
        <f>IF($B54="","",COUNTIF($C54:$X54,الإعدادات!$H$4))</f>
        <v/>
      </c>
      <c r="Z54" s="65" t="str">
        <f>IF($B54="","",COUNTIF($C54:$X54,الإعدادات!$H$5))</f>
        <v/>
      </c>
      <c r="AA54" s="65" t="str">
        <f>IF($B54="","",COUNTIF($C54:$X54,الإعدادات!$H$6))</f>
        <v/>
      </c>
      <c r="AB54" s="65" t="str">
        <f>IF($B54="","",COUNTIF($C54:$X54,الإعدادات!$H$7))</f>
        <v/>
      </c>
      <c r="AC54" s="65" t="str">
        <f>IF($B54="","",COUNTIF($C54:$X54,الإعدادات!$H$8))</f>
        <v/>
      </c>
      <c r="AD54" s="65" t="str">
        <f>IF($B54="","",COUNTIF($C54:$X54,الإعدادات!$H$9))</f>
        <v/>
      </c>
      <c r="AE54" s="66" t="str">
        <f>IF($B54="","",COUNTIF($C54:$X54,الإعدادات!$H$10))</f>
        <v/>
      </c>
      <c r="AF54" s="66" t="str">
        <f t="shared" si="1"/>
        <v/>
      </c>
    </row>
    <row r="55" spans="1:32">
      <c r="A55" s="11" t="str">
        <f>IF(OR($B$11="",$C$11="لا"),"",$A$11)</f>
        <v/>
      </c>
      <c r="B55" t="str">
        <f>IF(OR($B$11="",$C$11="لا"),"",$B$11)</f>
        <v/>
      </c>
      <c r="X55" s="30"/>
      <c r="Y55" s="65" t="str">
        <f>IF($B55="","",COUNTIF($C55:$X55,الإعدادات!$H$4))</f>
        <v/>
      </c>
      <c r="Z55" s="65" t="str">
        <f>IF($B55="","",COUNTIF($C55:$X55,الإعدادات!$H$5))</f>
        <v/>
      </c>
      <c r="AA55" s="65" t="str">
        <f>IF($B55="","",COUNTIF($C55:$X55,الإعدادات!$H$6))</f>
        <v/>
      </c>
      <c r="AB55" s="65" t="str">
        <f>IF($B55="","",COUNTIF($C55:$X55,الإعدادات!$H$7))</f>
        <v/>
      </c>
      <c r="AC55" s="65" t="str">
        <f>IF($B55="","",COUNTIF($C55:$X55,الإعدادات!$H$8))</f>
        <v/>
      </c>
      <c r="AD55" s="65" t="str">
        <f>IF($B55="","",COUNTIF($C55:$X55,الإعدادات!$H$9))</f>
        <v/>
      </c>
      <c r="AE55" s="66" t="str">
        <f>IF($B55="","",COUNTIF($C55:$X55,الإعدادات!$H$10))</f>
        <v/>
      </c>
      <c r="AF55" s="66" t="str">
        <f t="shared" si="1"/>
        <v/>
      </c>
    </row>
    <row r="56" spans="1:32">
      <c r="A56" s="11" t="str">
        <f>IF(OR($B$12="",$C$12="لا"),"",$A$12)</f>
        <v/>
      </c>
      <c r="B56" t="str">
        <f>IF(OR($B$12="",$C$12="لا"),"",$B$12)</f>
        <v/>
      </c>
      <c r="X56" s="30"/>
      <c r="Y56" s="65" t="str">
        <f>IF($B56="","",COUNTIF($C56:$X56,الإعدادات!$H$4))</f>
        <v/>
      </c>
      <c r="Z56" s="65" t="str">
        <f>IF($B56="","",COUNTIF($C56:$X56,الإعدادات!$H$5))</f>
        <v/>
      </c>
      <c r="AA56" s="65" t="str">
        <f>IF($B56="","",COUNTIF($C56:$X56,الإعدادات!$H$6))</f>
        <v/>
      </c>
      <c r="AB56" s="65" t="str">
        <f>IF($B56="","",COUNTIF($C56:$X56,الإعدادات!$H$7))</f>
        <v/>
      </c>
      <c r="AC56" s="65" t="str">
        <f>IF($B56="","",COUNTIF($C56:$X56,الإعدادات!$H$8))</f>
        <v/>
      </c>
      <c r="AD56" s="65" t="str">
        <f>IF($B56="","",COUNTIF($C56:$X56,الإعدادات!$H$9))</f>
        <v/>
      </c>
      <c r="AE56" s="66" t="str">
        <f>IF($B56="","",COUNTIF($C56:$X56,الإعدادات!$H$10))</f>
        <v/>
      </c>
      <c r="AF56" s="66" t="str">
        <f t="shared" si="1"/>
        <v/>
      </c>
    </row>
    <row r="57" spans="1:32">
      <c r="A57" s="11" t="str">
        <f>IF(OR($B$13="",$C$13="لا"),"",$A$13)</f>
        <v/>
      </c>
      <c r="B57" t="str">
        <f>IF(OR($B$13="",$C$13="لا"),"",$B$13)</f>
        <v/>
      </c>
      <c r="X57" s="30"/>
      <c r="Y57" s="65" t="str">
        <f>IF($B57="","",COUNTIF($C57:$X57,الإعدادات!$H$4))</f>
        <v/>
      </c>
      <c r="Z57" s="65" t="str">
        <f>IF($B57="","",COUNTIF($C57:$X57,الإعدادات!$H$5))</f>
        <v/>
      </c>
      <c r="AA57" s="65" t="str">
        <f>IF($B57="","",COUNTIF($C57:$X57,الإعدادات!$H$6))</f>
        <v/>
      </c>
      <c r="AB57" s="65" t="str">
        <f>IF($B57="","",COUNTIF($C57:$X57,الإعدادات!$H$7))</f>
        <v/>
      </c>
      <c r="AC57" s="65" t="str">
        <f>IF($B57="","",COUNTIF($C57:$X57,الإعدادات!$H$8))</f>
        <v/>
      </c>
      <c r="AD57" s="65" t="str">
        <f>IF($B57="","",COUNTIF($C57:$X57,الإعدادات!$H$9))</f>
        <v/>
      </c>
      <c r="AE57" s="66" t="str">
        <f>IF($B57="","",COUNTIF($C57:$X57,الإعدادات!$H$10))</f>
        <v/>
      </c>
      <c r="AF57" s="66" t="str">
        <f t="shared" si="1"/>
        <v/>
      </c>
    </row>
    <row r="58" spans="1:32">
      <c r="A58" s="11" t="str">
        <f>IF(OR($B$14="",$C$14="لا"),"",$A$14)</f>
        <v/>
      </c>
      <c r="B58" t="str">
        <f>IF(OR($B$14="",$C$14="لا"),"",$B$14)</f>
        <v/>
      </c>
      <c r="X58" s="30"/>
      <c r="Y58" s="65" t="str">
        <f>IF($B58="","",COUNTIF($C58:$X58,الإعدادات!$H$4))</f>
        <v/>
      </c>
      <c r="Z58" s="65" t="str">
        <f>IF($B58="","",COUNTIF($C58:$X58,الإعدادات!$H$5))</f>
        <v/>
      </c>
      <c r="AA58" s="65" t="str">
        <f>IF($B58="","",COUNTIF($C58:$X58,الإعدادات!$H$6))</f>
        <v/>
      </c>
      <c r="AB58" s="65" t="str">
        <f>IF($B58="","",COUNTIF($C58:$X58,الإعدادات!$H$7))</f>
        <v/>
      </c>
      <c r="AC58" s="65" t="str">
        <f>IF($B58="","",COUNTIF($C58:$X58,الإعدادات!$H$8))</f>
        <v/>
      </c>
      <c r="AD58" s="65" t="str">
        <f>IF($B58="","",COUNTIF($C58:$X58,الإعدادات!$H$9))</f>
        <v/>
      </c>
      <c r="AE58" s="66" t="str">
        <f>IF($B58="","",COUNTIF($C58:$X58,الإعدادات!$H$10))</f>
        <v/>
      </c>
      <c r="AF58" s="66" t="str">
        <f t="shared" si="1"/>
        <v/>
      </c>
    </row>
    <row r="59" spans="1:32">
      <c r="A59" s="11" t="str">
        <f>IF(OR($B$15="",$C$15="لا"),"",$A$15)</f>
        <v/>
      </c>
      <c r="B59" t="str">
        <f>IF(OR($B$15="",$C$15="لا"),"",$B$15)</f>
        <v/>
      </c>
      <c r="X59" s="30"/>
      <c r="Y59" s="65" t="str">
        <f>IF($B59="","",COUNTIF($C59:$X59,الإعدادات!$H$4))</f>
        <v/>
      </c>
      <c r="Z59" s="65" t="str">
        <f>IF($B59="","",COUNTIF($C59:$X59,الإعدادات!$H$5))</f>
        <v/>
      </c>
      <c r="AA59" s="65" t="str">
        <f>IF($B59="","",COUNTIF($C59:$X59,الإعدادات!$H$6))</f>
        <v/>
      </c>
      <c r="AB59" s="65" t="str">
        <f>IF($B59="","",COUNTIF($C59:$X59,الإعدادات!$H$7))</f>
        <v/>
      </c>
      <c r="AC59" s="65" t="str">
        <f>IF($B59="","",COUNTIF($C59:$X59,الإعدادات!$H$8))</f>
        <v/>
      </c>
      <c r="AD59" s="65" t="str">
        <f>IF($B59="","",COUNTIF($C59:$X59,الإعدادات!$H$9))</f>
        <v/>
      </c>
      <c r="AE59" s="66" t="str">
        <f>IF($B59="","",COUNTIF($C59:$X59,الإعدادات!$H$10))</f>
        <v/>
      </c>
      <c r="AF59" s="66" t="str">
        <f t="shared" si="1"/>
        <v/>
      </c>
    </row>
    <row r="60" spans="1:32">
      <c r="A60" s="11" t="str">
        <f>IF(OR($B$16="",$C$16="لا"),"",$A$16)</f>
        <v/>
      </c>
      <c r="B60" t="str">
        <f>IF(OR($B$16="",$C$16="لا"),"",$B$16)</f>
        <v/>
      </c>
      <c r="X60" s="30"/>
      <c r="Y60" s="65" t="str">
        <f>IF($B60="","",COUNTIF($C60:$X60,الإعدادات!$H$4))</f>
        <v/>
      </c>
      <c r="Z60" s="65" t="str">
        <f>IF($B60="","",COUNTIF($C60:$X60,الإعدادات!$H$5))</f>
        <v/>
      </c>
      <c r="AA60" s="65" t="str">
        <f>IF($B60="","",COUNTIF($C60:$X60,الإعدادات!$H$6))</f>
        <v/>
      </c>
      <c r="AB60" s="65" t="str">
        <f>IF($B60="","",COUNTIF($C60:$X60,الإعدادات!$H$7))</f>
        <v/>
      </c>
      <c r="AC60" s="65" t="str">
        <f>IF($B60="","",COUNTIF($C60:$X60,الإعدادات!$H$8))</f>
        <v/>
      </c>
      <c r="AD60" s="65" t="str">
        <f>IF($B60="","",COUNTIF($C60:$X60,الإعدادات!$H$9))</f>
        <v/>
      </c>
      <c r="AE60" s="66" t="str">
        <f>IF($B60="","",COUNTIF($C60:$X60,الإعدادات!$H$10))</f>
        <v/>
      </c>
      <c r="AF60" s="66" t="str">
        <f t="shared" si="1"/>
        <v/>
      </c>
    </row>
    <row r="61" spans="1:32">
      <c r="A61" s="11" t="str">
        <f>IF(OR($B$17="",$C$17="لا"),"",$A$17)</f>
        <v/>
      </c>
      <c r="B61" t="str">
        <f>IF(OR($B$17="",$C$17="لا"),"",$B$17)</f>
        <v/>
      </c>
      <c r="X61" s="30"/>
      <c r="Y61" s="65" t="str">
        <f>IF($B61="","",COUNTIF($C61:$X61,الإعدادات!$H$4))</f>
        <v/>
      </c>
      <c r="Z61" s="65" t="str">
        <f>IF($B61="","",COUNTIF($C61:$X61,الإعدادات!$H$5))</f>
        <v/>
      </c>
      <c r="AA61" s="65" t="str">
        <f>IF($B61="","",COUNTIF($C61:$X61,الإعدادات!$H$6))</f>
        <v/>
      </c>
      <c r="AB61" s="65" t="str">
        <f>IF($B61="","",COUNTIF($C61:$X61,الإعدادات!$H$7))</f>
        <v/>
      </c>
      <c r="AC61" s="65" t="str">
        <f>IF($B61="","",COUNTIF($C61:$X61,الإعدادات!$H$8))</f>
        <v/>
      </c>
      <c r="AD61" s="65" t="str">
        <f>IF($B61="","",COUNTIF($C61:$X61,الإعدادات!$H$9))</f>
        <v/>
      </c>
      <c r="AE61" s="66" t="str">
        <f>IF($B61="","",COUNTIF($C61:$X61,الإعدادات!$H$10))</f>
        <v/>
      </c>
      <c r="AF61" s="66" t="str">
        <f t="shared" si="1"/>
        <v/>
      </c>
    </row>
    <row r="62" spans="1:32">
      <c r="A62" s="11" t="str">
        <f>IF(OR($B$18="",$C$18="لا"),"",$A$18)</f>
        <v/>
      </c>
      <c r="B62" t="str">
        <f>IF(OR($B$18="",$C$18="لا"),"",$B$18)</f>
        <v/>
      </c>
      <c r="X62" s="30"/>
      <c r="Y62" s="65" t="str">
        <f>IF($B62="","",COUNTIF($C62:$X62,الإعدادات!$H$4))</f>
        <v/>
      </c>
      <c r="Z62" s="65" t="str">
        <f>IF($B62="","",COUNTIF($C62:$X62,الإعدادات!$H$5))</f>
        <v/>
      </c>
      <c r="AA62" s="65" t="str">
        <f>IF($B62="","",COUNTIF($C62:$X62,الإعدادات!$H$6))</f>
        <v/>
      </c>
      <c r="AB62" s="65" t="str">
        <f>IF($B62="","",COUNTIF($C62:$X62,الإعدادات!$H$7))</f>
        <v/>
      </c>
      <c r="AC62" s="65" t="str">
        <f>IF($B62="","",COUNTIF($C62:$X62,الإعدادات!$H$8))</f>
        <v/>
      </c>
      <c r="AD62" s="65" t="str">
        <f>IF($B62="","",COUNTIF($C62:$X62,الإعدادات!$H$9))</f>
        <v/>
      </c>
      <c r="AE62" s="66" t="str">
        <f>IF($B62="","",COUNTIF($C62:$X62,الإعدادات!$H$10))</f>
        <v/>
      </c>
      <c r="AF62" s="66" t="str">
        <f t="shared" si="1"/>
        <v/>
      </c>
    </row>
    <row r="63" spans="1:32">
      <c r="A63" s="11" t="str">
        <f>IF(OR($B$19="",$C$19="لا"),"",$A$19)</f>
        <v/>
      </c>
      <c r="B63" t="str">
        <f>IF(OR($B$19="",$C$19="لا"),"",$B$19)</f>
        <v/>
      </c>
      <c r="X63" s="30"/>
      <c r="Y63" s="65" t="str">
        <f>IF($B63="","",COUNTIF($C63:$X63,الإعدادات!$H$4))</f>
        <v/>
      </c>
      <c r="Z63" s="65" t="str">
        <f>IF($B63="","",COUNTIF($C63:$X63,الإعدادات!$H$5))</f>
        <v/>
      </c>
      <c r="AA63" s="65" t="str">
        <f>IF($B63="","",COUNTIF($C63:$X63,الإعدادات!$H$6))</f>
        <v/>
      </c>
      <c r="AB63" s="65" t="str">
        <f>IF($B63="","",COUNTIF($C63:$X63,الإعدادات!$H$7))</f>
        <v/>
      </c>
      <c r="AC63" s="65" t="str">
        <f>IF($B63="","",COUNTIF($C63:$X63,الإعدادات!$H$8))</f>
        <v/>
      </c>
      <c r="AD63" s="65" t="str">
        <f>IF($B63="","",COUNTIF($C63:$X63,الإعدادات!$H$9))</f>
        <v/>
      </c>
      <c r="AE63" s="66" t="str">
        <f>IF($B63="","",COUNTIF($C63:$X63,الإعدادات!$H$10))</f>
        <v/>
      </c>
      <c r="AF63" s="66" t="str">
        <f t="shared" si="1"/>
        <v/>
      </c>
    </row>
    <row r="64" spans="1:32">
      <c r="A64" s="11" t="str">
        <f>IF(OR($B$20="",$C$20="لا"),"",$A$20)</f>
        <v/>
      </c>
      <c r="B64" t="str">
        <f>IF(OR($B$20="",$C$20="لا"),"",$B$20)</f>
        <v/>
      </c>
      <c r="X64" s="30"/>
      <c r="Y64" s="65" t="str">
        <f>IF($B64="","",COUNTIF($C64:$X64,الإعدادات!$H$4))</f>
        <v/>
      </c>
      <c r="Z64" s="65" t="str">
        <f>IF($B64="","",COUNTIF($C64:$X64,الإعدادات!$H$5))</f>
        <v/>
      </c>
      <c r="AA64" s="65" t="str">
        <f>IF($B64="","",COUNTIF($C64:$X64,الإعدادات!$H$6))</f>
        <v/>
      </c>
      <c r="AB64" s="65" t="str">
        <f>IF($B64="","",COUNTIF($C64:$X64,الإعدادات!$H$7))</f>
        <v/>
      </c>
      <c r="AC64" s="65" t="str">
        <f>IF($B64="","",COUNTIF($C64:$X64,الإعدادات!$H$8))</f>
        <v/>
      </c>
      <c r="AD64" s="65" t="str">
        <f>IF($B64="","",COUNTIF($C64:$X64,الإعدادات!$H$9))</f>
        <v/>
      </c>
      <c r="AE64" s="66" t="str">
        <f>IF($B64="","",COUNTIF($C64:$X64,الإعدادات!$H$10))</f>
        <v/>
      </c>
      <c r="AF64" s="66" t="str">
        <f t="shared" si="1"/>
        <v/>
      </c>
    </row>
    <row r="65" spans="1:32">
      <c r="A65" s="11" t="str">
        <f>IF(OR($B$21="",$C$21="لا"),"",$A$21)</f>
        <v/>
      </c>
      <c r="B65" t="str">
        <f>IF(OR($B$21="",$C$21="لا"),"",$B$21)</f>
        <v/>
      </c>
      <c r="X65" s="30"/>
      <c r="Y65" s="65" t="str">
        <f>IF($B65="","",COUNTIF($C65:$X65,الإعدادات!$H$4))</f>
        <v/>
      </c>
      <c r="Z65" s="65" t="str">
        <f>IF($B65="","",COUNTIF($C65:$X65,الإعدادات!$H$5))</f>
        <v/>
      </c>
      <c r="AA65" s="65" t="str">
        <f>IF($B65="","",COUNTIF($C65:$X65,الإعدادات!$H$6))</f>
        <v/>
      </c>
      <c r="AB65" s="65" t="str">
        <f>IF($B65="","",COUNTIF($C65:$X65,الإعدادات!$H$7))</f>
        <v/>
      </c>
      <c r="AC65" s="65" t="str">
        <f>IF($B65="","",COUNTIF($C65:$X65,الإعدادات!$H$8))</f>
        <v/>
      </c>
      <c r="AD65" s="65" t="str">
        <f>IF($B65="","",COUNTIF($C65:$X65,الإعدادات!$H$9))</f>
        <v/>
      </c>
      <c r="AE65" s="66" t="str">
        <f>IF($B65="","",COUNTIF($C65:$X65,الإعدادات!$H$10))</f>
        <v/>
      </c>
      <c r="AF65" s="66" t="str">
        <f t="shared" si="1"/>
        <v/>
      </c>
    </row>
    <row r="66" spans="1:32">
      <c r="A66" s="11" t="str">
        <f>IF(OR($B$22="",$C$22="لا"),"",$A$22)</f>
        <v/>
      </c>
      <c r="B66" t="str">
        <f>IF(OR($B$22="",$C$22="لا"),"",$B$22)</f>
        <v/>
      </c>
      <c r="X66" s="30"/>
      <c r="Y66" s="65" t="str">
        <f>IF($B66="","",COUNTIF($C66:$X66,الإعدادات!$H$4))</f>
        <v/>
      </c>
      <c r="Z66" s="65" t="str">
        <f>IF($B66="","",COUNTIF($C66:$X66,الإعدادات!$H$5))</f>
        <v/>
      </c>
      <c r="AA66" s="65" t="str">
        <f>IF($B66="","",COUNTIF($C66:$X66,الإعدادات!$H$6))</f>
        <v/>
      </c>
      <c r="AB66" s="65" t="str">
        <f>IF($B66="","",COUNTIF($C66:$X66,الإعدادات!$H$7))</f>
        <v/>
      </c>
      <c r="AC66" s="65" t="str">
        <f>IF($B66="","",COUNTIF($C66:$X66,الإعدادات!$H$8))</f>
        <v/>
      </c>
      <c r="AD66" s="65" t="str">
        <f>IF($B66="","",COUNTIF($C66:$X66,الإعدادات!$H$9))</f>
        <v/>
      </c>
      <c r="AE66" s="66" t="str">
        <f>IF($B66="","",COUNTIF($C66:$X66,الإعدادات!$H$10))</f>
        <v/>
      </c>
      <c r="AF66" s="66" t="str">
        <f t="shared" si="1"/>
        <v/>
      </c>
    </row>
    <row r="67" spans="1:32">
      <c r="A67" s="11" t="str">
        <f>IF(OR($B$23="",$C$23="لا"),"",$A$23)</f>
        <v/>
      </c>
      <c r="B67" t="str">
        <f>IF(OR($B$23="",$C$23="لا"),"",$B$23)</f>
        <v/>
      </c>
      <c r="X67" s="30"/>
      <c r="Y67" s="65" t="str">
        <f>IF($B67="","",COUNTIF($C67:$X67,الإعدادات!$H$4))</f>
        <v/>
      </c>
      <c r="Z67" s="65" t="str">
        <f>IF($B67="","",COUNTIF($C67:$X67,الإعدادات!$H$5))</f>
        <v/>
      </c>
      <c r="AA67" s="65" t="str">
        <f>IF($B67="","",COUNTIF($C67:$X67,الإعدادات!$H$6))</f>
        <v/>
      </c>
      <c r="AB67" s="65" t="str">
        <f>IF($B67="","",COUNTIF($C67:$X67,الإعدادات!$H$7))</f>
        <v/>
      </c>
      <c r="AC67" s="65" t="str">
        <f>IF($B67="","",COUNTIF($C67:$X67,الإعدادات!$H$8))</f>
        <v/>
      </c>
      <c r="AD67" s="65" t="str">
        <f>IF($B67="","",COUNTIF($C67:$X67,الإعدادات!$H$9))</f>
        <v/>
      </c>
      <c r="AE67" s="66" t="str">
        <f>IF($B67="","",COUNTIF($C67:$X67,الإعدادات!$H$10))</f>
        <v/>
      </c>
      <c r="AF67" s="66" t="str">
        <f t="shared" si="1"/>
        <v/>
      </c>
    </row>
    <row r="68" spans="1:32">
      <c r="A68" s="11" t="str">
        <f>IF(OR($B$24="",$C$24="لا"),"",$A$24)</f>
        <v/>
      </c>
      <c r="B68" t="str">
        <f>IF(OR($B$24="",$C$24="لا"),"",$B$24)</f>
        <v/>
      </c>
      <c r="X68" s="30"/>
      <c r="Y68" s="65" t="str">
        <f>IF($B68="","",COUNTIF($C68:$X68,الإعدادات!$H$4))</f>
        <v/>
      </c>
      <c r="Z68" s="65" t="str">
        <f>IF($B68="","",COUNTIF($C68:$X68,الإعدادات!$H$5))</f>
        <v/>
      </c>
      <c r="AA68" s="65" t="str">
        <f>IF($B68="","",COUNTIF($C68:$X68,الإعدادات!$H$6))</f>
        <v/>
      </c>
      <c r="AB68" s="65" t="str">
        <f>IF($B68="","",COUNTIF($C68:$X68,الإعدادات!$H$7))</f>
        <v/>
      </c>
      <c r="AC68" s="65" t="str">
        <f>IF($B68="","",COUNTIF($C68:$X68,الإعدادات!$H$8))</f>
        <v/>
      </c>
      <c r="AD68" s="65" t="str">
        <f>IF($B68="","",COUNTIF($C68:$X68,الإعدادات!$H$9))</f>
        <v/>
      </c>
      <c r="AE68" s="66" t="str">
        <f>IF($B68="","",COUNTIF($C68:$X68,الإعدادات!$H$10))</f>
        <v/>
      </c>
      <c r="AF68" s="66" t="str">
        <f t="shared" si="1"/>
        <v/>
      </c>
    </row>
    <row r="69" spans="1:32">
      <c r="A69" s="11" t="str">
        <f>IF(OR($B$25="",$C$25="لا"),"",$A$25)</f>
        <v/>
      </c>
      <c r="B69" t="str">
        <f>IF(OR($B$25="",$C$25="لا"),"",$B$25)</f>
        <v/>
      </c>
      <c r="X69" s="30"/>
      <c r="Y69" s="65" t="str">
        <f>IF($B69="","",COUNTIF($C69:$X69,الإعدادات!$H$4))</f>
        <v/>
      </c>
      <c r="Z69" s="65" t="str">
        <f>IF($B69="","",COUNTIF($C69:$X69,الإعدادات!$H$5))</f>
        <v/>
      </c>
      <c r="AA69" s="65" t="str">
        <f>IF($B69="","",COUNTIF($C69:$X69,الإعدادات!$H$6))</f>
        <v/>
      </c>
      <c r="AB69" s="65" t="str">
        <f>IF($B69="","",COUNTIF($C69:$X69,الإعدادات!$H$7))</f>
        <v/>
      </c>
      <c r="AC69" s="65" t="str">
        <f>IF($B69="","",COUNTIF($C69:$X69,الإعدادات!$H$8))</f>
        <v/>
      </c>
      <c r="AD69" s="65" t="str">
        <f>IF($B69="","",COUNTIF($C69:$X69,الإعدادات!$H$9))</f>
        <v/>
      </c>
      <c r="AE69" s="66" t="str">
        <f>IF($B69="","",COUNTIF($C69:$X69,الإعدادات!$H$10))</f>
        <v/>
      </c>
      <c r="AF69" s="66" t="str">
        <f t="shared" si="1"/>
        <v/>
      </c>
    </row>
    <row r="70" spans="1:32">
      <c r="A70" s="11" t="str">
        <f>IF(OR($B$26="",$C$26="لا"),"",$A$26)</f>
        <v/>
      </c>
      <c r="B70" t="str">
        <f>IF(OR($B$26="",$C$26="لا"),"",$B$26)</f>
        <v/>
      </c>
      <c r="X70" s="30"/>
      <c r="Y70" s="65" t="str">
        <f>IF($B70="","",COUNTIF($C70:$X70,الإعدادات!$H$4))</f>
        <v/>
      </c>
      <c r="Z70" s="65" t="str">
        <f>IF($B70="","",COUNTIF($C70:$X70,الإعدادات!$H$5))</f>
        <v/>
      </c>
      <c r="AA70" s="65" t="str">
        <f>IF($B70="","",COUNTIF($C70:$X70,الإعدادات!$H$6))</f>
        <v/>
      </c>
      <c r="AB70" s="65" t="str">
        <f>IF($B70="","",COUNTIF($C70:$X70,الإعدادات!$H$7))</f>
        <v/>
      </c>
      <c r="AC70" s="65" t="str">
        <f>IF($B70="","",COUNTIF($C70:$X70,الإعدادات!$H$8))</f>
        <v/>
      </c>
      <c r="AD70" s="65" t="str">
        <f>IF($B70="","",COUNTIF($C70:$X70,الإعدادات!$H$9))</f>
        <v/>
      </c>
      <c r="AE70" s="66" t="str">
        <f>IF($B70="","",COUNTIF($C70:$X70,الإعدادات!$H$10))</f>
        <v/>
      </c>
      <c r="AF70" s="66" t="str">
        <f t="shared" si="1"/>
        <v/>
      </c>
    </row>
    <row r="71" spans="1:32">
      <c r="A71" s="11" t="str">
        <f>IF(OR($B$27="",$C$27="لا"),"",$A$27)</f>
        <v/>
      </c>
      <c r="B71" t="str">
        <f>IF(OR($B$27="",$C$27="لا"),"",$B$27)</f>
        <v/>
      </c>
      <c r="X71" s="30"/>
      <c r="Y71" s="65" t="str">
        <f>IF($B71="","",COUNTIF($C71:$X71,الإعدادات!$H$4))</f>
        <v/>
      </c>
      <c r="Z71" s="65" t="str">
        <f>IF($B71="","",COUNTIF($C71:$X71,الإعدادات!$H$5))</f>
        <v/>
      </c>
      <c r="AA71" s="65" t="str">
        <f>IF($B71="","",COUNTIF($C71:$X71,الإعدادات!$H$6))</f>
        <v/>
      </c>
      <c r="AB71" s="65" t="str">
        <f>IF($B71="","",COUNTIF($C71:$X71,الإعدادات!$H$7))</f>
        <v/>
      </c>
      <c r="AC71" s="65" t="str">
        <f>IF($B71="","",COUNTIF($C71:$X71,الإعدادات!$H$8))</f>
        <v/>
      </c>
      <c r="AD71" s="65" t="str">
        <f>IF($B71="","",COUNTIF($C71:$X71,الإعدادات!$H$9))</f>
        <v/>
      </c>
      <c r="AE71" s="66" t="str">
        <f>IF($B71="","",COUNTIF($C71:$X71,الإعدادات!$H$10))</f>
        <v/>
      </c>
      <c r="AF71" s="66" t="str">
        <f t="shared" si="1"/>
        <v/>
      </c>
    </row>
    <row r="72" spans="1:32">
      <c r="A72" s="11" t="str">
        <f>IF(OR($B$28="",$C$28="لا"),"",$A$28)</f>
        <v/>
      </c>
      <c r="B72" t="str">
        <f>IF(OR($B$28="",$C$28="لا"),"",$B$28)</f>
        <v/>
      </c>
      <c r="X72" s="30"/>
      <c r="Y72" s="65" t="str">
        <f>IF($B72="","",COUNTIF($C72:$X72,الإعدادات!$H$4))</f>
        <v/>
      </c>
      <c r="Z72" s="65" t="str">
        <f>IF($B72="","",COUNTIF($C72:$X72,الإعدادات!$H$5))</f>
        <v/>
      </c>
      <c r="AA72" s="65" t="str">
        <f>IF($B72="","",COUNTIF($C72:$X72,الإعدادات!$H$6))</f>
        <v/>
      </c>
      <c r="AB72" s="65" t="str">
        <f>IF($B72="","",COUNTIF($C72:$X72,الإعدادات!$H$7))</f>
        <v/>
      </c>
      <c r="AC72" s="65" t="str">
        <f>IF($B72="","",COUNTIF($C72:$X72,الإعدادات!$H$8))</f>
        <v/>
      </c>
      <c r="AD72" s="65" t="str">
        <f>IF($B72="","",COUNTIF($C72:$X72,الإعدادات!$H$9))</f>
        <v/>
      </c>
      <c r="AE72" s="66" t="str">
        <f>IF($B72="","",COUNTIF($C72:$X72,الإعدادات!$H$10))</f>
        <v/>
      </c>
      <c r="AF72" s="66" t="str">
        <f t="shared" si="1"/>
        <v/>
      </c>
    </row>
    <row r="73" spans="1:32">
      <c r="A73" s="11" t="str">
        <f>IF(OR($B$29="",$C$29="لا"),"",$A$29)</f>
        <v/>
      </c>
      <c r="B73" t="str">
        <f>IF(OR($B$29="",$C$29="لا"),"",$B$29)</f>
        <v/>
      </c>
      <c r="X73" s="30"/>
      <c r="Y73" s="65" t="str">
        <f>IF($B73="","",COUNTIF($C73:$X73,الإعدادات!$H$4))</f>
        <v/>
      </c>
      <c r="Z73" s="65" t="str">
        <f>IF($B73="","",COUNTIF($C73:$X73,الإعدادات!$H$5))</f>
        <v/>
      </c>
      <c r="AA73" s="65" t="str">
        <f>IF($B73="","",COUNTIF($C73:$X73,الإعدادات!$H$6))</f>
        <v/>
      </c>
      <c r="AB73" s="65" t="str">
        <f>IF($B73="","",COUNTIF($C73:$X73,الإعدادات!$H$7))</f>
        <v/>
      </c>
      <c r="AC73" s="65" t="str">
        <f>IF($B73="","",COUNTIF($C73:$X73,الإعدادات!$H$8))</f>
        <v/>
      </c>
      <c r="AD73" s="65" t="str">
        <f>IF($B73="","",COUNTIF($C73:$X73,الإعدادات!$H$9))</f>
        <v/>
      </c>
      <c r="AE73" s="66" t="str">
        <f>IF($B73="","",COUNTIF($C73:$X73,الإعدادات!$H$10))</f>
        <v/>
      </c>
      <c r="AF73" s="66" t="str">
        <f t="shared" si="1"/>
        <v/>
      </c>
    </row>
    <row r="74" spans="1:32">
      <c r="A74" s="11" t="str">
        <f>IF(OR($B$30="",$C$30="لا"),"",$A$30)</f>
        <v/>
      </c>
      <c r="B74" t="str">
        <f>IF(OR($B$30="",$C$30="لا"),"",$B$30)</f>
        <v/>
      </c>
      <c r="X74" s="30"/>
      <c r="Y74" s="65" t="str">
        <f>IF($B74="","",COUNTIF($C74:$X74,الإعدادات!$H$4))</f>
        <v/>
      </c>
      <c r="Z74" s="65" t="str">
        <f>IF($B74="","",COUNTIF($C74:$X74,الإعدادات!$H$5))</f>
        <v/>
      </c>
      <c r="AA74" s="65" t="str">
        <f>IF($B74="","",COUNTIF($C74:$X74,الإعدادات!$H$6))</f>
        <v/>
      </c>
      <c r="AB74" s="65" t="str">
        <f>IF($B74="","",COUNTIF($C74:$X74,الإعدادات!$H$7))</f>
        <v/>
      </c>
      <c r="AC74" s="65" t="str">
        <f>IF($B74="","",COUNTIF($C74:$X74,الإعدادات!$H$8))</f>
        <v/>
      </c>
      <c r="AD74" s="65" t="str">
        <f>IF($B74="","",COUNTIF($C74:$X74,الإعدادات!$H$9))</f>
        <v/>
      </c>
      <c r="AE74" s="66" t="str">
        <f>IF($B74="","",COUNTIF($C74:$X74,الإعدادات!$H$10))</f>
        <v/>
      </c>
      <c r="AF74" s="66" t="str">
        <f t="shared" si="1"/>
        <v/>
      </c>
    </row>
    <row r="75" spans="1:32">
      <c r="A75" s="11" t="str">
        <f>IF(OR($B$31="",$C$31="لا"),"",$A$31)</f>
        <v/>
      </c>
      <c r="B75" t="str">
        <f>IF(OR($B$31="",$C$31="لا"),"",$B$31)</f>
        <v/>
      </c>
      <c r="X75" s="30"/>
      <c r="Y75" s="65" t="str">
        <f>IF($B75="","",COUNTIF($C75:$X75,الإعدادات!$H$4))</f>
        <v/>
      </c>
      <c r="Z75" s="65" t="str">
        <f>IF($B75="","",COUNTIF($C75:$X75,الإعدادات!$H$5))</f>
        <v/>
      </c>
      <c r="AA75" s="65" t="str">
        <f>IF($B75="","",COUNTIF($C75:$X75,الإعدادات!$H$6))</f>
        <v/>
      </c>
      <c r="AB75" s="65" t="str">
        <f>IF($B75="","",COUNTIF($C75:$X75,الإعدادات!$H$7))</f>
        <v/>
      </c>
      <c r="AC75" s="65" t="str">
        <f>IF($B75="","",COUNTIF($C75:$X75,الإعدادات!$H$8))</f>
        <v/>
      </c>
      <c r="AD75" s="65" t="str">
        <f>IF($B75="","",COUNTIF($C75:$X75,الإعدادات!$H$9))</f>
        <v/>
      </c>
      <c r="AE75" s="66" t="str">
        <f>IF($B75="","",COUNTIF($C75:$X75,الإعدادات!$H$10))</f>
        <v/>
      </c>
      <c r="AF75" s="66" t="str">
        <f t="shared" si="1"/>
        <v/>
      </c>
    </row>
    <row r="76" spans="1:32">
      <c r="A76" s="11" t="str">
        <f>IF(OR($B$32="",$C$32="لا"),"",$A$32)</f>
        <v/>
      </c>
      <c r="B76" t="str">
        <f>IF(OR($B$32="",$C$32="لا"),"",$B$32)</f>
        <v/>
      </c>
      <c r="X76" s="30"/>
      <c r="Y76" s="65" t="str">
        <f>IF($B76="","",COUNTIF($C76:$X76,الإعدادات!$H$4))</f>
        <v/>
      </c>
      <c r="Z76" s="65" t="str">
        <f>IF($B76="","",COUNTIF($C76:$X76,الإعدادات!$H$5))</f>
        <v/>
      </c>
      <c r="AA76" s="65" t="str">
        <f>IF($B76="","",COUNTIF($C76:$X76,الإعدادات!$H$6))</f>
        <v/>
      </c>
      <c r="AB76" s="65" t="str">
        <f>IF($B76="","",COUNTIF($C76:$X76,الإعدادات!$H$7))</f>
        <v/>
      </c>
      <c r="AC76" s="65" t="str">
        <f>IF($B76="","",COUNTIF($C76:$X76,الإعدادات!$H$8))</f>
        <v/>
      </c>
      <c r="AD76" s="65" t="str">
        <f>IF($B76="","",COUNTIF($C76:$X76,الإعدادات!$H$9))</f>
        <v/>
      </c>
      <c r="AE76" s="66" t="str">
        <f>IF($B76="","",COUNTIF($C76:$X76,الإعدادات!$H$10))</f>
        <v/>
      </c>
      <c r="AF76" s="66" t="str">
        <f t="shared" si="1"/>
        <v/>
      </c>
    </row>
    <row r="77" spans="1:32">
      <c r="A77" s="11" t="str">
        <f>IF(OR($B$33="",$C$33="لا"),"",$A$33)</f>
        <v/>
      </c>
      <c r="B77" t="str">
        <f>IF(OR($B$33="",$C$33="لا"),"",$B$33)</f>
        <v/>
      </c>
      <c r="X77" s="30"/>
      <c r="Y77" s="65" t="str">
        <f>IF($B77="","",COUNTIF($C77:$X77,الإعدادات!$H$4))</f>
        <v/>
      </c>
      <c r="Z77" s="65" t="str">
        <f>IF($B77="","",COUNTIF($C77:$X77,الإعدادات!$H$5))</f>
        <v/>
      </c>
      <c r="AA77" s="65" t="str">
        <f>IF($B77="","",COUNTIF($C77:$X77,الإعدادات!$H$6))</f>
        <v/>
      </c>
      <c r="AB77" s="65" t="str">
        <f>IF($B77="","",COUNTIF($C77:$X77,الإعدادات!$H$7))</f>
        <v/>
      </c>
      <c r="AC77" s="65" t="str">
        <f>IF($B77="","",COUNTIF($C77:$X77,الإعدادات!$H$8))</f>
        <v/>
      </c>
      <c r="AD77" s="65" t="str">
        <f>IF($B77="","",COUNTIF($C77:$X77,الإعدادات!$H$9))</f>
        <v/>
      </c>
      <c r="AE77" s="66" t="str">
        <f>IF($B77="","",COUNTIF($C77:$X77,الإعدادات!$H$10))</f>
        <v/>
      </c>
      <c r="AF77" s="66" t="str">
        <f t="shared" si="1"/>
        <v/>
      </c>
    </row>
    <row r="78" spans="1:32">
      <c r="A78" s="11" t="str">
        <f>IF(OR($B$34="",$C$34="لا"),"",$A$34)</f>
        <v/>
      </c>
      <c r="B78" t="str">
        <f>IF(OR($B$34="",$C$34="لا"),"",$B$34)</f>
        <v/>
      </c>
      <c r="X78" s="30"/>
      <c r="Y78" s="65" t="str">
        <f>IF($B78="","",COUNTIF($C78:$X78,الإعدادات!$H$4))</f>
        <v/>
      </c>
      <c r="Z78" s="65" t="str">
        <f>IF($B78="","",COUNTIF($C78:$X78,الإعدادات!$H$5))</f>
        <v/>
      </c>
      <c r="AA78" s="65" t="str">
        <f>IF($B78="","",COUNTIF($C78:$X78,الإعدادات!$H$6))</f>
        <v/>
      </c>
      <c r="AB78" s="65" t="str">
        <f>IF($B78="","",COUNTIF($C78:$X78,الإعدادات!$H$7))</f>
        <v/>
      </c>
      <c r="AC78" s="65" t="str">
        <f>IF($B78="","",COUNTIF($C78:$X78,الإعدادات!$H$8))</f>
        <v/>
      </c>
      <c r="AD78" s="65" t="str">
        <f>IF($B78="","",COUNTIF($C78:$X78,الإعدادات!$H$9))</f>
        <v/>
      </c>
      <c r="AE78" s="66" t="str">
        <f>IF($B78="","",COUNTIF($C78:$X78,الإعدادات!$H$10))</f>
        <v/>
      </c>
      <c r="AF78" s="66" t="str">
        <f t="shared" si="1"/>
        <v/>
      </c>
    </row>
    <row r="79" spans="1:32">
      <c r="A79" s="11" t="str">
        <f>IF(OR($B$35="",$C$35="لا"),"",$A$35)</f>
        <v/>
      </c>
      <c r="B79" t="str">
        <f>IF(OR($B$35="",$C$35="لا"),"",$B$35)</f>
        <v/>
      </c>
      <c r="X79" s="30"/>
      <c r="Y79" s="65" t="str">
        <f>IF($B79="","",COUNTIF($C79:$X79,الإعدادات!$H$4))</f>
        <v/>
      </c>
      <c r="Z79" s="65" t="str">
        <f>IF($B79="","",COUNTIF($C79:$X79,الإعدادات!$H$5))</f>
        <v/>
      </c>
      <c r="AA79" s="65" t="str">
        <f>IF($B79="","",COUNTIF($C79:$X79,الإعدادات!$H$6))</f>
        <v/>
      </c>
      <c r="AB79" s="65" t="str">
        <f>IF($B79="","",COUNTIF($C79:$X79,الإعدادات!$H$7))</f>
        <v/>
      </c>
      <c r="AC79" s="65" t="str">
        <f>IF($B79="","",COUNTIF($C79:$X79,الإعدادات!$H$8))</f>
        <v/>
      </c>
      <c r="AD79" s="65" t="str">
        <f>IF($B79="","",COUNTIF($C79:$X79,الإعدادات!$H$9))</f>
        <v/>
      </c>
      <c r="AE79" s="66" t="str">
        <f>IF($B79="","",COUNTIF($C79:$X79,الإعدادات!$H$10))</f>
        <v/>
      </c>
      <c r="AF79" s="66" t="str">
        <f t="shared" si="1"/>
        <v/>
      </c>
    </row>
    <row r="80" spans="1:32">
      <c r="A80" s="11" t="str">
        <f>IF(OR($B$36="",$C$36="لا"),"",$A$36)</f>
        <v/>
      </c>
      <c r="B80" t="str">
        <f>IF(OR($B$36="",$C$36="لا"),"",$B$36)</f>
        <v/>
      </c>
      <c r="X80" s="30"/>
      <c r="Y80" s="65" t="str">
        <f>IF($B80="","",COUNTIF($C80:$X80,الإعدادات!$H$4))</f>
        <v/>
      </c>
      <c r="Z80" s="65" t="str">
        <f>IF($B80="","",COUNTIF($C80:$X80,الإعدادات!$H$5))</f>
        <v/>
      </c>
      <c r="AA80" s="65" t="str">
        <f>IF($B80="","",COUNTIF($C80:$X80,الإعدادات!$H$6))</f>
        <v/>
      </c>
      <c r="AB80" s="65" t="str">
        <f>IF($B80="","",COUNTIF($C80:$X80,الإعدادات!$H$7))</f>
        <v/>
      </c>
      <c r="AC80" s="65" t="str">
        <f>IF($B80="","",COUNTIF($C80:$X80,الإعدادات!$H$8))</f>
        <v/>
      </c>
      <c r="AD80" s="65" t="str">
        <f>IF($B80="","",COUNTIF($C80:$X80,الإعدادات!$H$9))</f>
        <v/>
      </c>
      <c r="AE80" s="66" t="str">
        <f>IF($B80="","",COUNTIF($C80:$X80,الإعدادات!$H$10))</f>
        <v/>
      </c>
      <c r="AF80" s="66" t="str">
        <f t="shared" si="1"/>
        <v/>
      </c>
    </row>
    <row r="81" spans="1:32">
      <c r="A81" s="11" t="str">
        <f>IF(OR($B$37="",$C$37="لا"),"",$A$37)</f>
        <v/>
      </c>
      <c r="B81" t="str">
        <f>IF(OR($B$37="",$C$37="لا"),"",$B$37)</f>
        <v/>
      </c>
      <c r="X81" s="30"/>
      <c r="Y81" s="65" t="str">
        <f>IF($B81="","",COUNTIF($C81:$X81,الإعدادات!$H$4))</f>
        <v/>
      </c>
      <c r="Z81" s="65" t="str">
        <f>IF($B81="","",COUNTIF($C81:$X81,الإعدادات!$H$5))</f>
        <v/>
      </c>
      <c r="AA81" s="65" t="str">
        <f>IF($B81="","",COUNTIF($C81:$X81,الإعدادات!$H$6))</f>
        <v/>
      </c>
      <c r="AB81" s="65" t="str">
        <f>IF($B81="","",COUNTIF($C81:$X81,الإعدادات!$H$7))</f>
        <v/>
      </c>
      <c r="AC81" s="65" t="str">
        <f>IF($B81="","",COUNTIF($C81:$X81,الإعدادات!$H$8))</f>
        <v/>
      </c>
      <c r="AD81" s="65" t="str">
        <f>IF($B81="","",COUNTIF($C81:$X81,الإعدادات!$H$9))</f>
        <v/>
      </c>
      <c r="AE81" s="66" t="str">
        <f>IF($B81="","",COUNTIF($C81:$X81,الإعدادات!$H$10))</f>
        <v/>
      </c>
      <c r="AF81" s="66" t="str">
        <f t="shared" si="1"/>
        <v/>
      </c>
    </row>
    <row r="82" spans="1:32">
      <c r="A82" s="11" t="str">
        <f>IF(OR($B$38="",$C$38="لا"),"",$A$38)</f>
        <v/>
      </c>
      <c r="B82" t="str">
        <f>IF(OR($B$38="",$C$38="لا"),"",$B$38)</f>
        <v/>
      </c>
      <c r="X82" s="30"/>
      <c r="Y82" s="65" t="str">
        <f>IF($B82="","",COUNTIF($C82:$X82,الإعدادات!$H$4))</f>
        <v/>
      </c>
      <c r="Z82" s="65" t="str">
        <f>IF($B82="","",COUNTIF($C82:$X82,الإعدادات!$H$5))</f>
        <v/>
      </c>
      <c r="AA82" s="65" t="str">
        <f>IF($B82="","",COUNTIF($C82:$X82,الإعدادات!$H$6))</f>
        <v/>
      </c>
      <c r="AB82" s="65" t="str">
        <f>IF($B82="","",COUNTIF($C82:$X82,الإعدادات!$H$7))</f>
        <v/>
      </c>
      <c r="AC82" s="65" t="str">
        <f>IF($B82="","",COUNTIF($C82:$X82,الإعدادات!$H$8))</f>
        <v/>
      </c>
      <c r="AD82" s="65" t="str">
        <f>IF($B82="","",COUNTIF($C82:$X82,الإعدادات!$H$9))</f>
        <v/>
      </c>
      <c r="AE82" s="66" t="str">
        <f>IF($B82="","",COUNTIF($C82:$X82,الإعدادات!$H$10))</f>
        <v/>
      </c>
      <c r="AF82" s="66" t="str">
        <f t="shared" si="1"/>
        <v/>
      </c>
    </row>
    <row r="83" spans="1:32">
      <c r="A83" s="11" t="str">
        <f>IF(OR($B$39="",$C$39="لا"),"",$A$39)</f>
        <v/>
      </c>
      <c r="B83" t="str">
        <f>IF(OR($B$39="",$C$39="لا"),"",$B$39)</f>
        <v/>
      </c>
      <c r="X83" s="30"/>
      <c r="Y83" s="65" t="str">
        <f>IF($B83="","",COUNTIF($C83:$X83,الإعدادات!$H$4))</f>
        <v/>
      </c>
      <c r="Z83" s="65" t="str">
        <f>IF($B83="","",COUNTIF($C83:$X83,الإعدادات!$H$5))</f>
        <v/>
      </c>
      <c r="AA83" s="65" t="str">
        <f>IF($B83="","",COUNTIF($C83:$X83,الإعدادات!$H$6))</f>
        <v/>
      </c>
      <c r="AB83" s="65" t="str">
        <f>IF($B83="","",COUNTIF($C83:$X83,الإعدادات!$H$7))</f>
        <v/>
      </c>
      <c r="AC83" s="65" t="str">
        <f>IF($B83="","",COUNTIF($C83:$X83,الإعدادات!$H$8))</f>
        <v/>
      </c>
      <c r="AD83" s="65" t="str">
        <f>IF($B83="","",COUNTIF($C83:$X83,الإعدادات!$H$9))</f>
        <v/>
      </c>
      <c r="AE83" s="66" t="str">
        <f>IF($B83="","",COUNTIF($C83:$X83,الإعدادات!$H$10))</f>
        <v/>
      </c>
      <c r="AF83" s="66" t="str">
        <f t="shared" si="1"/>
        <v/>
      </c>
    </row>
    <row r="84" spans="1:32">
      <c r="A84" s="11" t="str">
        <f>IF(OR($B$40="",$C$40="لا"),"",$A$40)</f>
        <v/>
      </c>
      <c r="B84" t="str">
        <f>IF(OR($B$40="",$C$40="لا"),"",$B$40)</f>
        <v/>
      </c>
      <c r="X84" s="30"/>
      <c r="Y84" s="65" t="str">
        <f>IF($B84="","",COUNTIF($C84:$X84,الإعدادات!$H$4))</f>
        <v/>
      </c>
      <c r="Z84" s="65" t="str">
        <f>IF($B84="","",COUNTIF($C84:$X84,الإعدادات!$H$5))</f>
        <v/>
      </c>
      <c r="AA84" s="65" t="str">
        <f>IF($B84="","",COUNTIF($C84:$X84,الإعدادات!$H$6))</f>
        <v/>
      </c>
      <c r="AB84" s="65" t="str">
        <f>IF($B84="","",COUNTIF($C84:$X84,الإعدادات!$H$7))</f>
        <v/>
      </c>
      <c r="AC84" s="65" t="str">
        <f>IF($B84="","",COUNTIF($C84:$X84,الإعدادات!$H$8))</f>
        <v/>
      </c>
      <c r="AD84" s="65" t="str">
        <f>IF($B84="","",COUNTIF($C84:$X84,الإعدادات!$H$9))</f>
        <v/>
      </c>
      <c r="AE84" s="66" t="str">
        <f>IF($B84="","",COUNTIF($C84:$X84,الإعدادات!$H$10))</f>
        <v/>
      </c>
      <c r="AF84" s="66" t="str">
        <f t="shared" si="1"/>
        <v/>
      </c>
    </row>
    <row r="85" spans="1:32">
      <c r="A85" s="11" t="str">
        <f>IF(OR($B$41="",$C$41="لا"),"",$A$41)</f>
        <v/>
      </c>
      <c r="B85" t="str">
        <f>IF(OR($B$41="",$C$41="لا"),"",$B$41)</f>
        <v/>
      </c>
      <c r="X85" s="30"/>
      <c r="Y85" s="65" t="str">
        <f>IF($B85="","",COUNTIF($C85:$X85,الإعدادات!$H$4))</f>
        <v/>
      </c>
      <c r="Z85" s="65" t="str">
        <f>IF($B85="","",COUNTIF($C85:$X85,الإعدادات!$H$5))</f>
        <v/>
      </c>
      <c r="AA85" s="65" t="str">
        <f>IF($B85="","",COUNTIF($C85:$X85,الإعدادات!$H$6))</f>
        <v/>
      </c>
      <c r="AB85" s="65" t="str">
        <f>IF($B85="","",COUNTIF($C85:$X85,الإعدادات!$H$7))</f>
        <v/>
      </c>
      <c r="AC85" s="65" t="str">
        <f>IF($B85="","",COUNTIF($C85:$X85,الإعدادات!$H$8))</f>
        <v/>
      </c>
      <c r="AD85" s="65" t="str">
        <f>IF($B85="","",COUNTIF($C85:$X85,الإعدادات!$H$9))</f>
        <v/>
      </c>
      <c r="AE85" s="66" t="str">
        <f>IF($B85="","",COUNTIF($C85:$X85,الإعدادات!$H$10))</f>
        <v/>
      </c>
      <c r="AF85" s="66" t="str">
        <f t="shared" si="1"/>
        <v/>
      </c>
    </row>
    <row r="86" spans="1:32">
      <c r="A86" s="11" t="str">
        <f>IF(OR($B$42="",$C$42="لا"),"",$A$42)</f>
        <v/>
      </c>
      <c r="B86" t="str">
        <f>IF(OR($B$42="",$C$42="لا"),"",$B$42)</f>
        <v/>
      </c>
      <c r="X86" s="30"/>
      <c r="Y86" s="65" t="str">
        <f>IF($B86="","",COUNTIF($C86:$X86,الإعدادات!$H$4))</f>
        <v/>
      </c>
      <c r="Z86" s="65" t="str">
        <f>IF($B86="","",COUNTIF($C86:$X86,الإعدادات!$H$5))</f>
        <v/>
      </c>
      <c r="AA86" s="65" t="str">
        <f>IF($B86="","",COUNTIF($C86:$X86,الإعدادات!$H$6))</f>
        <v/>
      </c>
      <c r="AB86" s="65" t="str">
        <f>IF($B86="","",COUNTIF($C86:$X86,الإعدادات!$H$7))</f>
        <v/>
      </c>
      <c r="AC86" s="65" t="str">
        <f>IF($B86="","",COUNTIF($C86:$X86,الإعدادات!$H$8))</f>
        <v/>
      </c>
      <c r="AD86" s="65" t="str">
        <f>IF($B86="","",COUNTIF($C86:$X86,الإعدادات!$H$9))</f>
        <v/>
      </c>
      <c r="AE86" s="66" t="str">
        <f>IF($B86="","",COUNTIF($C86:$X86,الإعدادات!$H$10))</f>
        <v/>
      </c>
      <c r="AF86" s="66" t="str">
        <f t="shared" si="1"/>
        <v/>
      </c>
    </row>
    <row r="87" spans="1:32">
      <c r="A87" s="11" t="str">
        <f>IF(OR($B$43="",$C$43="لا"),"",$A$43)</f>
        <v/>
      </c>
      <c r="B87" t="str">
        <f>IF(OR($B$43="",$C$43="لا"),"",$B$43)</f>
        <v/>
      </c>
      <c r="X87" s="30"/>
      <c r="Y87" s="65" t="str">
        <f>IF($B87="","",COUNTIF($C87:$X87,الإعدادات!$H$4))</f>
        <v/>
      </c>
      <c r="Z87" s="65" t="str">
        <f>IF($B87="","",COUNTIF($C87:$X87,الإعدادات!$H$5))</f>
        <v/>
      </c>
      <c r="AA87" s="65" t="str">
        <f>IF($B87="","",COUNTIF($C87:$X87,الإعدادات!$H$6))</f>
        <v/>
      </c>
      <c r="AB87" s="65" t="str">
        <f>IF($B87="","",COUNTIF($C87:$X87,الإعدادات!$H$7))</f>
        <v/>
      </c>
      <c r="AC87" s="65" t="str">
        <f>IF($B87="","",COUNTIF($C87:$X87,الإعدادات!$H$8))</f>
        <v/>
      </c>
      <c r="AD87" s="65" t="str">
        <f>IF($B87="","",COUNTIF($C87:$X87,الإعدادات!$H$9))</f>
        <v/>
      </c>
      <c r="AE87" s="66" t="str">
        <f>IF($B87="","",COUNTIF($C87:$X87,الإعدادات!$H$10))</f>
        <v/>
      </c>
      <c r="AF87" s="66" t="str">
        <f t="shared" si="1"/>
        <v/>
      </c>
    </row>
    <row r="88" spans="1:32">
      <c r="A88" s="11" t="str">
        <f>IF(OR($B$44="",$C$44="لا"),"",$A$44)</f>
        <v/>
      </c>
      <c r="B88" t="str">
        <f>IF(OR($B$44="",$C$44="لا"),"",$B$44)</f>
        <v/>
      </c>
      <c r="X88" s="30"/>
      <c r="Y88" s="65" t="str">
        <f>IF($B88="","",COUNTIF($C88:$X88,الإعدادات!$H$4))</f>
        <v/>
      </c>
      <c r="Z88" s="65" t="str">
        <f>IF($B88="","",COUNTIF($C88:$X88,الإعدادات!$H$5))</f>
        <v/>
      </c>
      <c r="AA88" s="65" t="str">
        <f>IF($B88="","",COUNTIF($C88:$X88,الإعدادات!$H$6))</f>
        <v/>
      </c>
      <c r="AB88" s="65" t="str">
        <f>IF($B88="","",COUNTIF($C88:$X88,الإعدادات!$H$7))</f>
        <v/>
      </c>
      <c r="AC88" s="65" t="str">
        <f>IF($B88="","",COUNTIF($C88:$X88,الإعدادات!$H$8))</f>
        <v/>
      </c>
      <c r="AD88" s="65" t="str">
        <f>IF($B88="","",COUNTIF($C88:$X88,الإعدادات!$H$9))</f>
        <v/>
      </c>
      <c r="AE88" s="66" t="str">
        <f>IF($B88="","",COUNTIF($C88:$X88,الإعدادات!$H$10))</f>
        <v/>
      </c>
      <c r="AF88" s="66" t="str">
        <f t="shared" si="1"/>
        <v/>
      </c>
    </row>
    <row r="89" spans="1:32">
      <c r="A89" s="11" t="str">
        <f>IF(OR($B$45="",$C$45="لا"),"",$A$45)</f>
        <v/>
      </c>
      <c r="B89" t="str">
        <f>IF(OR($B$45="",$C$45="لا"),"",$B$45)</f>
        <v/>
      </c>
      <c r="X89" s="30"/>
      <c r="Y89" s="65" t="str">
        <f>IF($B89="","",COUNTIF($C89:$X89,الإعدادات!$H$4))</f>
        <v/>
      </c>
      <c r="Z89" s="65" t="str">
        <f>IF($B89="","",COUNTIF($C89:$X89,الإعدادات!$H$5))</f>
        <v/>
      </c>
      <c r="AA89" s="65" t="str">
        <f>IF($B89="","",COUNTIF($C89:$X89,الإعدادات!$H$6))</f>
        <v/>
      </c>
      <c r="AB89" s="65" t="str">
        <f>IF($B89="","",COUNTIF($C89:$X89,الإعدادات!$H$7))</f>
        <v/>
      </c>
      <c r="AC89" s="65" t="str">
        <f>IF($B89="","",COUNTIF($C89:$X89,الإعدادات!$H$8))</f>
        <v/>
      </c>
      <c r="AD89" s="65" t="str">
        <f>IF($B89="","",COUNTIF($C89:$X89,الإعدادات!$H$9))</f>
        <v/>
      </c>
      <c r="AE89" s="66" t="str">
        <f>IF($B89="","",COUNTIF($C89:$X89,الإعدادات!$H$10))</f>
        <v/>
      </c>
      <c r="AF89" s="66" t="str">
        <f t="shared" si="1"/>
        <v/>
      </c>
    </row>
    <row r="90" spans="1:32">
      <c r="A90" s="11" t="str">
        <f>IF(OR($B$46="",$C$46="لا"),"",$A$46)</f>
        <v/>
      </c>
      <c r="B90" t="str">
        <f>IF(OR($B$46="",$C$46="لا"),"",$B$46)</f>
        <v/>
      </c>
      <c r="X90" s="30"/>
      <c r="Y90" s="65" t="str">
        <f>IF($B90="","",COUNTIF($C90:$X90,الإعدادات!$H$4))</f>
        <v/>
      </c>
      <c r="Z90" s="65" t="str">
        <f>IF($B90="","",COUNTIF($C90:$X90,الإعدادات!$H$5))</f>
        <v/>
      </c>
      <c r="AA90" s="65" t="str">
        <f>IF($B90="","",COUNTIF($C90:$X90,الإعدادات!$H$6))</f>
        <v/>
      </c>
      <c r="AB90" s="65" t="str">
        <f>IF($B90="","",COUNTIF($C90:$X90,الإعدادات!$H$7))</f>
        <v/>
      </c>
      <c r="AC90" s="65" t="str">
        <f>IF($B90="","",COUNTIF($C90:$X90,الإعدادات!$H$8))</f>
        <v/>
      </c>
      <c r="AD90" s="65" t="str">
        <f>IF($B90="","",COUNTIF($C90:$X90,الإعدادات!$H$9))</f>
        <v/>
      </c>
      <c r="AE90" s="66" t="str">
        <f>IF($B90="","",COUNTIF($C90:$X90,الإعدادات!$H$10))</f>
        <v/>
      </c>
      <c r="AF90" s="66" t="str">
        <f t="shared" si="1"/>
        <v/>
      </c>
    </row>
    <row r="91" spans="1:32">
      <c r="A91" s="11" t="str">
        <f>IF(OR($B$47="",$C$47="لا"),"",$A$47)</f>
        <v/>
      </c>
      <c r="B91" t="str">
        <f>IF(OR($B$47="",$C$47="لا"),"",$B$47)</f>
        <v/>
      </c>
      <c r="X91" s="30"/>
      <c r="Y91" s="65" t="str">
        <f>IF($B91="","",COUNTIF($C91:$X91,الإعدادات!$H$4))</f>
        <v/>
      </c>
      <c r="Z91" s="65" t="str">
        <f>IF($B91="","",COUNTIF($C91:$X91,الإعدادات!$H$5))</f>
        <v/>
      </c>
      <c r="AA91" s="65" t="str">
        <f>IF($B91="","",COUNTIF($C91:$X91,الإعدادات!$H$6))</f>
        <v/>
      </c>
      <c r="AB91" s="65" t="str">
        <f>IF($B91="","",COUNTIF($C91:$X91,الإعدادات!$H$7))</f>
        <v/>
      </c>
      <c r="AC91" s="65" t="str">
        <f>IF($B91="","",COUNTIF($C91:$X91,الإعدادات!$H$8))</f>
        <v/>
      </c>
      <c r="AD91" s="65" t="str">
        <f>IF($B91="","",COUNTIF($C91:$X91,الإعدادات!$H$9))</f>
        <v/>
      </c>
      <c r="AE91" s="66" t="str">
        <f>IF($B91="","",COUNTIF($C91:$X91,الإعدادات!$H$10))</f>
        <v/>
      </c>
      <c r="AF91" s="66" t="str">
        <f t="shared" si="1"/>
        <v/>
      </c>
    </row>
    <row r="92" spans="1:32">
      <c r="A92" s="13" t="str">
        <f>IF(OR($B$48="",$C$48="لا"),"",$A$48)</f>
        <v/>
      </c>
      <c r="B92" s="14" t="str">
        <f>IF(OR($B$48="",$C$48="لا"),"",$B$48)</f>
        <v/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32"/>
      <c r="Y92" s="67" t="str">
        <f>IF($B92="","",COUNTIF($C92:$X92,الإعدادات!$H$4))</f>
        <v/>
      </c>
      <c r="Z92" s="67" t="str">
        <f>IF($B92="","",COUNTIF($C92:$X92,الإعدادات!$H$5))</f>
        <v/>
      </c>
      <c r="AA92" s="67" t="str">
        <f>IF($B92="","",COUNTIF($C92:$X92,الإعدادات!$H$6))</f>
        <v/>
      </c>
      <c r="AB92" s="67" t="str">
        <f>IF($B92="","",COUNTIF($C92:$X92,الإعدادات!$H$7))</f>
        <v/>
      </c>
      <c r="AC92" s="67" t="str">
        <f>IF($B92="","",COUNTIF($C92:$X92,الإعدادات!$H$8))</f>
        <v/>
      </c>
      <c r="AD92" s="67" t="str">
        <f>IF($B92="","",COUNTIF($C92:$X92,الإعدادات!$H$9))</f>
        <v/>
      </c>
      <c r="AE92" s="68" t="str">
        <f>IF($B92="","",COUNTIF($C92:$X92,الإعدادات!$H$10))</f>
        <v/>
      </c>
      <c r="AF92" s="68" t="str">
        <f t="shared" si="1"/>
        <v/>
      </c>
    </row>
    <row r="96" spans="1:32" ht="16.5">
      <c r="A96" s="91" t="s">
        <v>153</v>
      </c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38"/>
      <c r="AB96" s="38"/>
      <c r="AC96" s="38"/>
      <c r="AD96" s="38"/>
      <c r="AE96" s="27"/>
    </row>
    <row r="97" spans="1:31">
      <c r="A97" s="92" t="s">
        <v>128</v>
      </c>
      <c r="B97" s="92"/>
      <c r="C97" s="92" t="s">
        <v>129</v>
      </c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 t="s">
        <v>130</v>
      </c>
      <c r="T97" s="92"/>
      <c r="U97" s="92"/>
      <c r="V97" s="92"/>
      <c r="W97" s="92"/>
      <c r="X97" s="92"/>
      <c r="Y97" s="92"/>
      <c r="Z97" s="92"/>
      <c r="AA97" s="36"/>
      <c r="AB97" s="36"/>
      <c r="AC97" s="36"/>
      <c r="AD97" s="36"/>
      <c r="AE97" s="22"/>
    </row>
    <row r="98" spans="1:31" ht="38.1" customHeight="1">
      <c r="A98" s="62" t="s">
        <v>116</v>
      </c>
      <c r="B98" s="62" t="s">
        <v>117</v>
      </c>
      <c r="C98" s="62" t="s">
        <v>154</v>
      </c>
      <c r="D98" s="62" t="s">
        <v>155</v>
      </c>
      <c r="E98" s="62" t="s">
        <v>156</v>
      </c>
      <c r="F98" s="62" t="s">
        <v>157</v>
      </c>
      <c r="G98" s="62" t="s">
        <v>158</v>
      </c>
      <c r="H98" s="62" t="s">
        <v>159</v>
      </c>
      <c r="I98" s="62" t="s">
        <v>160</v>
      </c>
      <c r="J98" s="62" t="s">
        <v>161</v>
      </c>
      <c r="K98" s="62" t="s">
        <v>162</v>
      </c>
      <c r="L98" s="62" t="s">
        <v>163</v>
      </c>
      <c r="M98" s="62" t="s">
        <v>164</v>
      </c>
      <c r="N98" s="62" t="s">
        <v>165</v>
      </c>
      <c r="O98" s="62" t="s">
        <v>166</v>
      </c>
      <c r="P98" s="62" t="s">
        <v>167</v>
      </c>
      <c r="Q98" s="62" t="s">
        <v>168</v>
      </c>
      <c r="R98" s="62" t="s">
        <v>169</v>
      </c>
      <c r="S98" s="62" t="str">
        <f>الإعدادات!H4</f>
        <v>كتاب</v>
      </c>
      <c r="T98" s="62" t="str">
        <f>الإعدادات!H5</f>
        <v>نوم</v>
      </c>
      <c r="U98" s="62" t="str">
        <f>الإعدادات!H6</f>
        <v>سلوك</v>
      </c>
      <c r="V98" s="62" t="str">
        <f>الإعدادات!H7</f>
        <v>غياب</v>
      </c>
      <c r="W98" s="62" t="str">
        <f>الإعدادات!H8</f>
        <v>تأخر</v>
      </c>
      <c r="X98" s="62" t="str">
        <f>الإعدادات!H9</f>
        <v>حل الواجبات</v>
      </c>
      <c r="Y98" s="62" t="str">
        <f>الإعدادات!H10</f>
        <v>تميز ★</v>
      </c>
      <c r="Z98" s="62" t="s">
        <v>110</v>
      </c>
      <c r="AA98" s="37"/>
      <c r="AB98" s="37"/>
      <c r="AC98" s="37"/>
      <c r="AD98" s="37"/>
      <c r="AE98" s="7"/>
    </row>
    <row r="99" spans="1:31">
      <c r="A99" s="8" t="str">
        <f>IF(OR($B$9="",$C$9="لا"),"",$A$9)</f>
        <v/>
      </c>
      <c r="B99" s="9" t="str">
        <f>IF(OR($B$9="",$C$9="لا"),"",$B$9)</f>
        <v/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63" t="str">
        <f>IF($B99="","",COUNTIF($C99:$R99,الإعدادات!$H$4))</f>
        <v/>
      </c>
      <c r="T99" s="63" t="str">
        <f>IF($B99="","",COUNTIF($C99:$R99,الإعدادات!$H$5))</f>
        <v/>
      </c>
      <c r="U99" s="63" t="str">
        <f>IF($B99="","",COUNTIF($C99:$R99,الإعدادات!$H$6))</f>
        <v/>
      </c>
      <c r="V99" s="63" t="str">
        <f>IF($B99="","",COUNTIF($C99:$R99,الإعدادات!$H$7))</f>
        <v/>
      </c>
      <c r="W99" s="63" t="str">
        <f>IF($B99="","",COUNTIF($C99:$R99,الإعدادات!$H$8))</f>
        <v/>
      </c>
      <c r="X99" s="63" t="str">
        <f>IF($B99="","",COUNTIF($C99:$R99,الإعدادات!$H$9))</f>
        <v/>
      </c>
      <c r="Y99" s="63" t="str">
        <f>IF($B99="","",COUNTIF($C99:$R99,الإعدادات!$H$10))</f>
        <v/>
      </c>
      <c r="Z99" s="64" t="str">
        <f t="shared" ref="Z99:Z138" si="2">IF($B99="","",SUM(S99:W99))</f>
        <v/>
      </c>
      <c r="AA99" s="39"/>
      <c r="AB99" s="39"/>
      <c r="AC99" s="39"/>
      <c r="AD99" s="40"/>
      <c r="AE99" s="29"/>
    </row>
    <row r="100" spans="1:31">
      <c r="A100" s="11" t="str">
        <f>IF(OR($B$10="",$C$10="لا"),"",$A$10)</f>
        <v/>
      </c>
      <c r="B100" t="str">
        <f>IF(OR($B$10="",$C$10="لا"),"",$B$10)</f>
        <v/>
      </c>
      <c r="S100" s="65" t="str">
        <f>IF($B100="","",COUNTIF($C100:$R100,الإعدادات!$H$4))</f>
        <v/>
      </c>
      <c r="T100" s="65" t="str">
        <f>IF($B100="","",COUNTIF($C100:$R100,الإعدادات!$H$5))</f>
        <v/>
      </c>
      <c r="U100" s="65" t="str">
        <f>IF($B100="","",COUNTIF($C100:$R100,الإعدادات!$H$6))</f>
        <v/>
      </c>
      <c r="V100" s="65" t="str">
        <f>IF($B100="","",COUNTIF($C100:$R100,الإعدادات!$H$7))</f>
        <v/>
      </c>
      <c r="W100" s="65" t="str">
        <f>IF($B100="","",COUNTIF($C100:$R100,الإعدادات!$H$8))</f>
        <v/>
      </c>
      <c r="X100" s="65" t="str">
        <f>IF($B100="","",COUNTIF($C100:$R100,الإعدادات!$H$9))</f>
        <v/>
      </c>
      <c r="Y100" s="65" t="str">
        <f>IF($B100="","",COUNTIF($C100:$R100,الإعدادات!$H$10))</f>
        <v/>
      </c>
      <c r="Z100" s="66" t="str">
        <f t="shared" si="2"/>
        <v/>
      </c>
      <c r="AA100" s="41"/>
      <c r="AB100" s="41"/>
      <c r="AC100" s="41"/>
      <c r="AD100" s="42"/>
      <c r="AE100" s="31"/>
    </row>
    <row r="101" spans="1:31">
      <c r="A101" s="11" t="str">
        <f>IF(OR($B$11="",$C$11="لا"),"",$A$11)</f>
        <v/>
      </c>
      <c r="B101" t="str">
        <f>IF(OR($B$11="",$C$11="لا"),"",$B$11)</f>
        <v/>
      </c>
      <c r="S101" s="65" t="str">
        <f>IF($B101="","",COUNTIF($C101:$R101,الإعدادات!$H$4))</f>
        <v/>
      </c>
      <c r="T101" s="65" t="str">
        <f>IF($B101="","",COUNTIF($C101:$R101,الإعدادات!$H$5))</f>
        <v/>
      </c>
      <c r="U101" s="65" t="str">
        <f>IF($B101="","",COUNTIF($C101:$R101,الإعدادات!$H$6))</f>
        <v/>
      </c>
      <c r="V101" s="65" t="str">
        <f>IF($B101="","",COUNTIF($C101:$R101,الإعدادات!$H$7))</f>
        <v/>
      </c>
      <c r="W101" s="65" t="str">
        <f>IF($B101="","",COUNTIF($C101:$R101,الإعدادات!$H$8))</f>
        <v/>
      </c>
      <c r="X101" s="65" t="str">
        <f>IF($B101="","",COUNTIF($C101:$R101,الإعدادات!$H$9))</f>
        <v/>
      </c>
      <c r="Y101" s="65" t="str">
        <f>IF($B101="","",COUNTIF($C101:$R101,الإعدادات!$H$10))</f>
        <v/>
      </c>
      <c r="Z101" s="66" t="str">
        <f t="shared" si="2"/>
        <v/>
      </c>
      <c r="AA101" s="41"/>
      <c r="AB101" s="41"/>
      <c r="AC101" s="41"/>
      <c r="AD101" s="42"/>
      <c r="AE101" s="31"/>
    </row>
    <row r="102" spans="1:31">
      <c r="A102" s="11" t="str">
        <f>IF(OR($B$12="",$C$12="لا"),"",$A$12)</f>
        <v/>
      </c>
      <c r="B102" t="str">
        <f>IF(OR($B$12="",$C$12="لا"),"",$B$12)</f>
        <v/>
      </c>
      <c r="S102" s="65" t="str">
        <f>IF($B102="","",COUNTIF($C102:$R102,الإعدادات!$H$4))</f>
        <v/>
      </c>
      <c r="T102" s="65" t="str">
        <f>IF($B102="","",COUNTIF($C102:$R102,الإعدادات!$H$5))</f>
        <v/>
      </c>
      <c r="U102" s="65" t="str">
        <f>IF($B102="","",COUNTIF($C102:$R102,الإعدادات!$H$6))</f>
        <v/>
      </c>
      <c r="V102" s="65" t="str">
        <f>IF($B102="","",COUNTIF($C102:$R102,الإعدادات!$H$7))</f>
        <v/>
      </c>
      <c r="W102" s="65" t="str">
        <f>IF($B102="","",COUNTIF($C102:$R102,الإعدادات!$H$8))</f>
        <v/>
      </c>
      <c r="X102" s="65" t="str">
        <f>IF($B102="","",COUNTIF($C102:$R102,الإعدادات!$H$9))</f>
        <v/>
      </c>
      <c r="Y102" s="65" t="str">
        <f>IF($B102="","",COUNTIF($C102:$R102,الإعدادات!$H$10))</f>
        <v/>
      </c>
      <c r="Z102" s="66" t="str">
        <f t="shared" si="2"/>
        <v/>
      </c>
      <c r="AA102" s="41"/>
      <c r="AB102" s="41"/>
      <c r="AC102" s="41"/>
      <c r="AD102" s="42"/>
      <c r="AE102" s="31"/>
    </row>
    <row r="103" spans="1:31">
      <c r="A103" s="11" t="str">
        <f>IF(OR($B$13="",$C$13="لا"),"",$A$13)</f>
        <v/>
      </c>
      <c r="B103" t="str">
        <f>IF(OR($B$13="",$C$13="لا"),"",$B$13)</f>
        <v/>
      </c>
      <c r="S103" s="65" t="str">
        <f>IF($B103="","",COUNTIF($C103:$R103,الإعدادات!$H$4))</f>
        <v/>
      </c>
      <c r="T103" s="65" t="str">
        <f>IF($B103="","",COUNTIF($C103:$R103,الإعدادات!$H$5))</f>
        <v/>
      </c>
      <c r="U103" s="65" t="str">
        <f>IF($B103="","",COUNTIF($C103:$R103,الإعدادات!$H$6))</f>
        <v/>
      </c>
      <c r="V103" s="65" t="str">
        <f>IF($B103="","",COUNTIF($C103:$R103,الإعدادات!$H$7))</f>
        <v/>
      </c>
      <c r="W103" s="65" t="str">
        <f>IF($B103="","",COUNTIF($C103:$R103,الإعدادات!$H$8))</f>
        <v/>
      </c>
      <c r="X103" s="65" t="str">
        <f>IF($B103="","",COUNTIF($C103:$R103,الإعدادات!$H$9))</f>
        <v/>
      </c>
      <c r="Y103" s="65" t="str">
        <f>IF($B103="","",COUNTIF($C103:$R103,الإعدادات!$H$10))</f>
        <v/>
      </c>
      <c r="Z103" s="66" t="str">
        <f t="shared" si="2"/>
        <v/>
      </c>
      <c r="AA103" s="41"/>
      <c r="AB103" s="41"/>
      <c r="AC103" s="41"/>
      <c r="AD103" s="42"/>
      <c r="AE103" s="31"/>
    </row>
    <row r="104" spans="1:31">
      <c r="A104" s="11" t="str">
        <f>IF(OR($B$14="",$C$14="لا"),"",$A$14)</f>
        <v/>
      </c>
      <c r="B104" t="str">
        <f>IF(OR($B$14="",$C$14="لا"),"",$B$14)</f>
        <v/>
      </c>
      <c r="S104" s="65" t="str">
        <f>IF($B104="","",COUNTIF($C104:$R104,الإعدادات!$H$4))</f>
        <v/>
      </c>
      <c r="T104" s="65" t="str">
        <f>IF($B104="","",COUNTIF($C104:$R104,الإعدادات!$H$5))</f>
        <v/>
      </c>
      <c r="U104" s="65" t="str">
        <f>IF($B104="","",COUNTIF($C104:$R104,الإعدادات!$H$6))</f>
        <v/>
      </c>
      <c r="V104" s="65" t="str">
        <f>IF($B104="","",COUNTIF($C104:$R104,الإعدادات!$H$7))</f>
        <v/>
      </c>
      <c r="W104" s="65" t="str">
        <f>IF($B104="","",COUNTIF($C104:$R104,الإعدادات!$H$8))</f>
        <v/>
      </c>
      <c r="X104" s="65" t="str">
        <f>IF($B104="","",COUNTIF($C104:$R104,الإعدادات!$H$9))</f>
        <v/>
      </c>
      <c r="Y104" s="65" t="str">
        <f>IF($B104="","",COUNTIF($C104:$R104,الإعدادات!$H$10))</f>
        <v/>
      </c>
      <c r="Z104" s="66" t="str">
        <f t="shared" si="2"/>
        <v/>
      </c>
      <c r="AA104" s="41"/>
      <c r="AB104" s="41"/>
      <c r="AC104" s="41"/>
      <c r="AD104" s="42"/>
      <c r="AE104" s="31"/>
    </row>
    <row r="105" spans="1:31">
      <c r="A105" s="11" t="str">
        <f>IF(OR($B$15="",$C$15="لا"),"",$A$15)</f>
        <v/>
      </c>
      <c r="B105" t="str">
        <f>IF(OR($B$15="",$C$15="لا"),"",$B$15)</f>
        <v/>
      </c>
      <c r="S105" s="65" t="str">
        <f>IF($B105="","",COUNTIF($C105:$R105,الإعدادات!$H$4))</f>
        <v/>
      </c>
      <c r="T105" s="65" t="str">
        <f>IF($B105="","",COUNTIF($C105:$R105,الإعدادات!$H$5))</f>
        <v/>
      </c>
      <c r="U105" s="65" t="str">
        <f>IF($B105="","",COUNTIF($C105:$R105,الإعدادات!$H$6))</f>
        <v/>
      </c>
      <c r="V105" s="65" t="str">
        <f>IF($B105="","",COUNTIF($C105:$R105,الإعدادات!$H$7))</f>
        <v/>
      </c>
      <c r="W105" s="65" t="str">
        <f>IF($B105="","",COUNTIF($C105:$R105,الإعدادات!$H$8))</f>
        <v/>
      </c>
      <c r="X105" s="65" t="str">
        <f>IF($B105="","",COUNTIF($C105:$R105,الإعدادات!$H$9))</f>
        <v/>
      </c>
      <c r="Y105" s="65" t="str">
        <f>IF($B105="","",COUNTIF($C105:$R105,الإعدادات!$H$10))</f>
        <v/>
      </c>
      <c r="Z105" s="66" t="str">
        <f t="shared" si="2"/>
        <v/>
      </c>
      <c r="AA105" s="41"/>
      <c r="AB105" s="41"/>
      <c r="AC105" s="41"/>
      <c r="AD105" s="42"/>
      <c r="AE105" s="31"/>
    </row>
    <row r="106" spans="1:31">
      <c r="A106" s="11" t="str">
        <f>IF(OR($B$16="",$C$16="لا"),"",$A$16)</f>
        <v/>
      </c>
      <c r="B106" t="str">
        <f>IF(OR($B$16="",$C$16="لا"),"",$B$16)</f>
        <v/>
      </c>
      <c r="S106" s="65" t="str">
        <f>IF($B106="","",COUNTIF($C106:$R106,الإعدادات!$H$4))</f>
        <v/>
      </c>
      <c r="T106" s="65" t="str">
        <f>IF($B106="","",COUNTIF($C106:$R106,الإعدادات!$H$5))</f>
        <v/>
      </c>
      <c r="U106" s="65" t="str">
        <f>IF($B106="","",COUNTIF($C106:$R106,الإعدادات!$H$6))</f>
        <v/>
      </c>
      <c r="V106" s="65" t="str">
        <f>IF($B106="","",COUNTIF($C106:$R106,الإعدادات!$H$7))</f>
        <v/>
      </c>
      <c r="W106" s="65" t="str">
        <f>IF($B106="","",COUNTIF($C106:$R106,الإعدادات!$H$8))</f>
        <v/>
      </c>
      <c r="X106" s="65" t="str">
        <f>IF($B106="","",COUNTIF($C106:$R106,الإعدادات!$H$9))</f>
        <v/>
      </c>
      <c r="Y106" s="65" t="str">
        <f>IF($B106="","",COUNTIF($C106:$R106,الإعدادات!$H$10))</f>
        <v/>
      </c>
      <c r="Z106" s="66" t="str">
        <f t="shared" si="2"/>
        <v/>
      </c>
      <c r="AA106" s="41"/>
      <c r="AB106" s="41"/>
      <c r="AC106" s="41"/>
      <c r="AD106" s="42"/>
      <c r="AE106" s="31"/>
    </row>
    <row r="107" spans="1:31">
      <c r="A107" s="11" t="str">
        <f>IF(OR($B$17="",$C$17="لا"),"",$A$17)</f>
        <v/>
      </c>
      <c r="B107" t="str">
        <f>IF(OR($B$17="",$C$17="لا"),"",$B$17)</f>
        <v/>
      </c>
      <c r="S107" s="65" t="str">
        <f>IF($B107="","",COUNTIF($C107:$R107,الإعدادات!$H$4))</f>
        <v/>
      </c>
      <c r="T107" s="65" t="str">
        <f>IF($B107="","",COUNTIF($C107:$R107,الإعدادات!$H$5))</f>
        <v/>
      </c>
      <c r="U107" s="65" t="str">
        <f>IF($B107="","",COUNTIF($C107:$R107,الإعدادات!$H$6))</f>
        <v/>
      </c>
      <c r="V107" s="65" t="str">
        <f>IF($B107="","",COUNTIF($C107:$R107,الإعدادات!$H$7))</f>
        <v/>
      </c>
      <c r="W107" s="65" t="str">
        <f>IF($B107="","",COUNTIF($C107:$R107,الإعدادات!$H$8))</f>
        <v/>
      </c>
      <c r="X107" s="65" t="str">
        <f>IF($B107="","",COUNTIF($C107:$R107,الإعدادات!$H$9))</f>
        <v/>
      </c>
      <c r="Y107" s="65" t="str">
        <f>IF($B107="","",COUNTIF($C107:$R107,الإعدادات!$H$10))</f>
        <v/>
      </c>
      <c r="Z107" s="66" t="str">
        <f t="shared" si="2"/>
        <v/>
      </c>
      <c r="AA107" s="41"/>
      <c r="AB107" s="41"/>
      <c r="AC107" s="41"/>
      <c r="AD107" s="42"/>
      <c r="AE107" s="31"/>
    </row>
    <row r="108" spans="1:31">
      <c r="A108" s="11" t="str">
        <f>IF(OR($B$18="",$C$18="لا"),"",$A$18)</f>
        <v/>
      </c>
      <c r="B108" t="str">
        <f>IF(OR($B$18="",$C$18="لا"),"",$B$18)</f>
        <v/>
      </c>
      <c r="S108" s="65" t="str">
        <f>IF($B108="","",COUNTIF($C108:$R108,الإعدادات!$H$4))</f>
        <v/>
      </c>
      <c r="T108" s="65" t="str">
        <f>IF($B108="","",COUNTIF($C108:$R108,الإعدادات!$H$5))</f>
        <v/>
      </c>
      <c r="U108" s="65" t="str">
        <f>IF($B108="","",COUNTIF($C108:$R108,الإعدادات!$H$6))</f>
        <v/>
      </c>
      <c r="V108" s="65" t="str">
        <f>IF($B108="","",COUNTIF($C108:$R108,الإعدادات!$H$7))</f>
        <v/>
      </c>
      <c r="W108" s="65" t="str">
        <f>IF($B108="","",COUNTIF($C108:$R108,الإعدادات!$H$8))</f>
        <v/>
      </c>
      <c r="X108" s="65" t="str">
        <f>IF($B108="","",COUNTIF($C108:$R108,الإعدادات!$H$9))</f>
        <v/>
      </c>
      <c r="Y108" s="65" t="str">
        <f>IF($B108="","",COUNTIF($C108:$R108,الإعدادات!$H$10))</f>
        <v/>
      </c>
      <c r="Z108" s="66" t="str">
        <f t="shared" si="2"/>
        <v/>
      </c>
      <c r="AA108" s="41"/>
      <c r="AB108" s="41"/>
      <c r="AC108" s="41"/>
      <c r="AD108" s="42"/>
      <c r="AE108" s="31"/>
    </row>
    <row r="109" spans="1:31">
      <c r="A109" s="11" t="str">
        <f>IF(OR($B$19="",$C$19="لا"),"",$A$19)</f>
        <v/>
      </c>
      <c r="B109" t="str">
        <f>IF(OR($B$19="",$C$19="لا"),"",$B$19)</f>
        <v/>
      </c>
      <c r="S109" s="65" t="str">
        <f>IF($B109="","",COUNTIF($C109:$R109,الإعدادات!$H$4))</f>
        <v/>
      </c>
      <c r="T109" s="65" t="str">
        <f>IF($B109="","",COUNTIF($C109:$R109,الإعدادات!$H$5))</f>
        <v/>
      </c>
      <c r="U109" s="65" t="str">
        <f>IF($B109="","",COUNTIF($C109:$R109,الإعدادات!$H$6))</f>
        <v/>
      </c>
      <c r="V109" s="65" t="str">
        <f>IF($B109="","",COUNTIF($C109:$R109,الإعدادات!$H$7))</f>
        <v/>
      </c>
      <c r="W109" s="65" t="str">
        <f>IF($B109="","",COUNTIF($C109:$R109,الإعدادات!$H$8))</f>
        <v/>
      </c>
      <c r="X109" s="65" t="str">
        <f>IF($B109="","",COUNTIF($C109:$R109,الإعدادات!$H$9))</f>
        <v/>
      </c>
      <c r="Y109" s="65" t="str">
        <f>IF($B109="","",COUNTIF($C109:$R109,الإعدادات!$H$10))</f>
        <v/>
      </c>
      <c r="Z109" s="66" t="str">
        <f t="shared" si="2"/>
        <v/>
      </c>
      <c r="AA109" s="41"/>
      <c r="AB109" s="41"/>
      <c r="AC109" s="41"/>
      <c r="AD109" s="42"/>
      <c r="AE109" s="31"/>
    </row>
    <row r="110" spans="1:31">
      <c r="A110" s="11" t="str">
        <f>IF(OR($B$20="",$C$20="لا"),"",$A$20)</f>
        <v/>
      </c>
      <c r="B110" t="str">
        <f>IF(OR($B$20="",$C$20="لا"),"",$B$20)</f>
        <v/>
      </c>
      <c r="S110" s="65" t="str">
        <f>IF($B110="","",COUNTIF($C110:$R110,الإعدادات!$H$4))</f>
        <v/>
      </c>
      <c r="T110" s="65" t="str">
        <f>IF($B110="","",COUNTIF($C110:$R110,الإعدادات!$H$5))</f>
        <v/>
      </c>
      <c r="U110" s="65" t="str">
        <f>IF($B110="","",COUNTIF($C110:$R110,الإعدادات!$H$6))</f>
        <v/>
      </c>
      <c r="V110" s="65" t="str">
        <f>IF($B110="","",COUNTIF($C110:$R110,الإعدادات!$H$7))</f>
        <v/>
      </c>
      <c r="W110" s="65" t="str">
        <f>IF($B110="","",COUNTIF($C110:$R110,الإعدادات!$H$8))</f>
        <v/>
      </c>
      <c r="X110" s="65" t="str">
        <f>IF($B110="","",COUNTIF($C110:$R110,الإعدادات!$H$9))</f>
        <v/>
      </c>
      <c r="Y110" s="65" t="str">
        <f>IF($B110="","",COUNTIF($C110:$R110,الإعدادات!$H$10))</f>
        <v/>
      </c>
      <c r="Z110" s="66" t="str">
        <f t="shared" si="2"/>
        <v/>
      </c>
      <c r="AA110" s="41"/>
      <c r="AB110" s="41"/>
      <c r="AC110" s="41"/>
      <c r="AD110" s="42"/>
      <c r="AE110" s="31"/>
    </row>
    <row r="111" spans="1:31">
      <c r="A111" s="11" t="str">
        <f>IF(OR($B$21="",$C$21="لا"),"",$A$21)</f>
        <v/>
      </c>
      <c r="B111" t="str">
        <f>IF(OR($B$21="",$C$21="لا"),"",$B$21)</f>
        <v/>
      </c>
      <c r="S111" s="65" t="str">
        <f>IF($B111="","",COUNTIF($C111:$R111,الإعدادات!$H$4))</f>
        <v/>
      </c>
      <c r="T111" s="65" t="str">
        <f>IF($B111="","",COUNTIF($C111:$R111,الإعدادات!$H$5))</f>
        <v/>
      </c>
      <c r="U111" s="65" t="str">
        <f>IF($B111="","",COUNTIF($C111:$R111,الإعدادات!$H$6))</f>
        <v/>
      </c>
      <c r="V111" s="65" t="str">
        <f>IF($B111="","",COUNTIF($C111:$R111,الإعدادات!$H$7))</f>
        <v/>
      </c>
      <c r="W111" s="65" t="str">
        <f>IF($B111="","",COUNTIF($C111:$R111,الإعدادات!$H$8))</f>
        <v/>
      </c>
      <c r="X111" s="65" t="str">
        <f>IF($B111="","",COUNTIF($C111:$R111,الإعدادات!$H$9))</f>
        <v/>
      </c>
      <c r="Y111" s="65" t="str">
        <f>IF($B111="","",COUNTIF($C111:$R111,الإعدادات!$H$10))</f>
        <v/>
      </c>
      <c r="Z111" s="66" t="str">
        <f t="shared" si="2"/>
        <v/>
      </c>
      <c r="AA111" s="41"/>
      <c r="AB111" s="41"/>
      <c r="AC111" s="41"/>
      <c r="AD111" s="42"/>
      <c r="AE111" s="31"/>
    </row>
    <row r="112" spans="1:31">
      <c r="A112" s="11" t="str">
        <f>IF(OR($B$22="",$C$22="لا"),"",$A$22)</f>
        <v/>
      </c>
      <c r="B112" t="str">
        <f>IF(OR($B$22="",$C$22="لا"),"",$B$22)</f>
        <v/>
      </c>
      <c r="S112" s="65" t="str">
        <f>IF($B112="","",COUNTIF($C112:$R112,الإعدادات!$H$4))</f>
        <v/>
      </c>
      <c r="T112" s="65" t="str">
        <f>IF($B112="","",COUNTIF($C112:$R112,الإعدادات!$H$5))</f>
        <v/>
      </c>
      <c r="U112" s="65" t="str">
        <f>IF($B112="","",COUNTIF($C112:$R112,الإعدادات!$H$6))</f>
        <v/>
      </c>
      <c r="V112" s="65" t="str">
        <f>IF($B112="","",COUNTIF($C112:$R112,الإعدادات!$H$7))</f>
        <v/>
      </c>
      <c r="W112" s="65" t="str">
        <f>IF($B112="","",COUNTIF($C112:$R112,الإعدادات!$H$8))</f>
        <v/>
      </c>
      <c r="X112" s="65" t="str">
        <f>IF($B112="","",COUNTIF($C112:$R112,الإعدادات!$H$9))</f>
        <v/>
      </c>
      <c r="Y112" s="65" t="str">
        <f>IF($B112="","",COUNTIF($C112:$R112,الإعدادات!$H$10))</f>
        <v/>
      </c>
      <c r="Z112" s="66" t="str">
        <f t="shared" si="2"/>
        <v/>
      </c>
      <c r="AA112" s="41"/>
      <c r="AB112" s="41"/>
      <c r="AC112" s="41"/>
      <c r="AD112" s="42"/>
      <c r="AE112" s="31"/>
    </row>
    <row r="113" spans="1:31">
      <c r="A113" s="11" t="str">
        <f>IF(OR($B$23="",$C$23="لا"),"",$A$23)</f>
        <v/>
      </c>
      <c r="B113" t="str">
        <f>IF(OR($B$23="",$C$23="لا"),"",$B$23)</f>
        <v/>
      </c>
      <c r="S113" s="65" t="str">
        <f>IF($B113="","",COUNTIF($C113:$R113,الإعدادات!$H$4))</f>
        <v/>
      </c>
      <c r="T113" s="65" t="str">
        <f>IF($B113="","",COUNTIF($C113:$R113,الإعدادات!$H$5))</f>
        <v/>
      </c>
      <c r="U113" s="65" t="str">
        <f>IF($B113="","",COUNTIF($C113:$R113,الإعدادات!$H$6))</f>
        <v/>
      </c>
      <c r="V113" s="65" t="str">
        <f>IF($B113="","",COUNTIF($C113:$R113,الإعدادات!$H$7))</f>
        <v/>
      </c>
      <c r="W113" s="65" t="str">
        <f>IF($B113="","",COUNTIF($C113:$R113,الإعدادات!$H$8))</f>
        <v/>
      </c>
      <c r="X113" s="65" t="str">
        <f>IF($B113="","",COUNTIF($C113:$R113,الإعدادات!$H$9))</f>
        <v/>
      </c>
      <c r="Y113" s="65" t="str">
        <f>IF($B113="","",COUNTIF($C113:$R113,الإعدادات!$H$10))</f>
        <v/>
      </c>
      <c r="Z113" s="66" t="str">
        <f t="shared" si="2"/>
        <v/>
      </c>
      <c r="AA113" s="41"/>
      <c r="AB113" s="41"/>
      <c r="AC113" s="41"/>
      <c r="AD113" s="42"/>
      <c r="AE113" s="31"/>
    </row>
    <row r="114" spans="1:31">
      <c r="A114" s="11" t="str">
        <f>IF(OR($B$24="",$C$24="لا"),"",$A$24)</f>
        <v/>
      </c>
      <c r="B114" t="str">
        <f>IF(OR($B$24="",$C$24="لا"),"",$B$24)</f>
        <v/>
      </c>
      <c r="S114" s="65" t="str">
        <f>IF($B114="","",COUNTIF($C114:$R114,الإعدادات!$H$4))</f>
        <v/>
      </c>
      <c r="T114" s="65" t="str">
        <f>IF($B114="","",COUNTIF($C114:$R114,الإعدادات!$H$5))</f>
        <v/>
      </c>
      <c r="U114" s="65" t="str">
        <f>IF($B114="","",COUNTIF($C114:$R114,الإعدادات!$H$6))</f>
        <v/>
      </c>
      <c r="V114" s="65" t="str">
        <f>IF($B114="","",COUNTIF($C114:$R114,الإعدادات!$H$7))</f>
        <v/>
      </c>
      <c r="W114" s="65" t="str">
        <f>IF($B114="","",COUNTIF($C114:$R114,الإعدادات!$H$8))</f>
        <v/>
      </c>
      <c r="X114" s="65" t="str">
        <f>IF($B114="","",COUNTIF($C114:$R114,الإعدادات!$H$9))</f>
        <v/>
      </c>
      <c r="Y114" s="65" t="str">
        <f>IF($B114="","",COUNTIF($C114:$R114,الإعدادات!$H$10))</f>
        <v/>
      </c>
      <c r="Z114" s="66" t="str">
        <f t="shared" si="2"/>
        <v/>
      </c>
      <c r="AA114" s="41"/>
      <c r="AB114" s="41"/>
      <c r="AC114" s="41"/>
      <c r="AD114" s="42"/>
      <c r="AE114" s="31"/>
    </row>
    <row r="115" spans="1:31">
      <c r="A115" s="11" t="str">
        <f>IF(OR($B$25="",$C$25="لا"),"",$A$25)</f>
        <v/>
      </c>
      <c r="B115" t="str">
        <f>IF(OR($B$25="",$C$25="لا"),"",$B$25)</f>
        <v/>
      </c>
      <c r="S115" s="65" t="str">
        <f>IF($B115="","",COUNTIF($C115:$R115,الإعدادات!$H$4))</f>
        <v/>
      </c>
      <c r="T115" s="65" t="str">
        <f>IF($B115="","",COUNTIF($C115:$R115,الإعدادات!$H$5))</f>
        <v/>
      </c>
      <c r="U115" s="65" t="str">
        <f>IF($B115="","",COUNTIF($C115:$R115,الإعدادات!$H$6))</f>
        <v/>
      </c>
      <c r="V115" s="65" t="str">
        <f>IF($B115="","",COUNTIF($C115:$R115,الإعدادات!$H$7))</f>
        <v/>
      </c>
      <c r="W115" s="65" t="str">
        <f>IF($B115="","",COUNTIF($C115:$R115,الإعدادات!$H$8))</f>
        <v/>
      </c>
      <c r="X115" s="65" t="str">
        <f>IF($B115="","",COUNTIF($C115:$R115,الإعدادات!$H$9))</f>
        <v/>
      </c>
      <c r="Y115" s="65" t="str">
        <f>IF($B115="","",COUNTIF($C115:$R115,الإعدادات!$H$10))</f>
        <v/>
      </c>
      <c r="Z115" s="66" t="str">
        <f t="shared" si="2"/>
        <v/>
      </c>
      <c r="AA115" s="41"/>
      <c r="AB115" s="41"/>
      <c r="AC115" s="41"/>
      <c r="AD115" s="42"/>
      <c r="AE115" s="31"/>
    </row>
    <row r="116" spans="1:31">
      <c r="A116" s="11" t="str">
        <f>IF(OR($B$26="",$C$26="لا"),"",$A$26)</f>
        <v/>
      </c>
      <c r="B116" t="str">
        <f>IF(OR($B$26="",$C$26="لا"),"",$B$26)</f>
        <v/>
      </c>
      <c r="S116" s="65" t="str">
        <f>IF($B116="","",COUNTIF($C116:$R116,الإعدادات!$H$4))</f>
        <v/>
      </c>
      <c r="T116" s="65" t="str">
        <f>IF($B116="","",COUNTIF($C116:$R116,الإعدادات!$H$5))</f>
        <v/>
      </c>
      <c r="U116" s="65" t="str">
        <f>IF($B116="","",COUNTIF($C116:$R116,الإعدادات!$H$6))</f>
        <v/>
      </c>
      <c r="V116" s="65" t="str">
        <f>IF($B116="","",COUNTIF($C116:$R116,الإعدادات!$H$7))</f>
        <v/>
      </c>
      <c r="W116" s="65" t="str">
        <f>IF($B116="","",COUNTIF($C116:$R116,الإعدادات!$H$8))</f>
        <v/>
      </c>
      <c r="X116" s="65" t="str">
        <f>IF($B116="","",COUNTIF($C116:$R116,الإعدادات!$H$9))</f>
        <v/>
      </c>
      <c r="Y116" s="65" t="str">
        <f>IF($B116="","",COUNTIF($C116:$R116,الإعدادات!$H$10))</f>
        <v/>
      </c>
      <c r="Z116" s="66" t="str">
        <f t="shared" si="2"/>
        <v/>
      </c>
      <c r="AA116" s="41"/>
      <c r="AB116" s="41"/>
      <c r="AC116" s="41"/>
      <c r="AD116" s="42"/>
      <c r="AE116" s="31"/>
    </row>
    <row r="117" spans="1:31">
      <c r="A117" s="11" t="str">
        <f>IF(OR($B$27="",$C$27="لا"),"",$A$27)</f>
        <v/>
      </c>
      <c r="B117" t="str">
        <f>IF(OR($B$27="",$C$27="لا"),"",$B$27)</f>
        <v/>
      </c>
      <c r="S117" s="65" t="str">
        <f>IF($B117="","",COUNTIF($C117:$R117,الإعدادات!$H$4))</f>
        <v/>
      </c>
      <c r="T117" s="65" t="str">
        <f>IF($B117="","",COUNTIF($C117:$R117,الإعدادات!$H$5))</f>
        <v/>
      </c>
      <c r="U117" s="65" t="str">
        <f>IF($B117="","",COUNTIF($C117:$R117,الإعدادات!$H$6))</f>
        <v/>
      </c>
      <c r="V117" s="65" t="str">
        <f>IF($B117="","",COUNTIF($C117:$R117,الإعدادات!$H$7))</f>
        <v/>
      </c>
      <c r="W117" s="65" t="str">
        <f>IF($B117="","",COUNTIF($C117:$R117,الإعدادات!$H$8))</f>
        <v/>
      </c>
      <c r="X117" s="65" t="str">
        <f>IF($B117="","",COUNTIF($C117:$R117,الإعدادات!$H$9))</f>
        <v/>
      </c>
      <c r="Y117" s="65" t="str">
        <f>IF($B117="","",COUNTIF($C117:$R117,الإعدادات!$H$10))</f>
        <v/>
      </c>
      <c r="Z117" s="66" t="str">
        <f t="shared" si="2"/>
        <v/>
      </c>
      <c r="AA117" s="41"/>
      <c r="AB117" s="41"/>
      <c r="AC117" s="41"/>
      <c r="AD117" s="42"/>
      <c r="AE117" s="31"/>
    </row>
    <row r="118" spans="1:31">
      <c r="A118" s="11" t="str">
        <f>IF(OR($B$28="",$C$28="لا"),"",$A$28)</f>
        <v/>
      </c>
      <c r="B118" t="str">
        <f>IF(OR($B$28="",$C$28="لا"),"",$B$28)</f>
        <v/>
      </c>
      <c r="S118" s="65" t="str">
        <f>IF($B118="","",COUNTIF($C118:$R118,الإعدادات!$H$4))</f>
        <v/>
      </c>
      <c r="T118" s="65" t="str">
        <f>IF($B118="","",COUNTIF($C118:$R118,الإعدادات!$H$5))</f>
        <v/>
      </c>
      <c r="U118" s="65" t="str">
        <f>IF($B118="","",COUNTIF($C118:$R118,الإعدادات!$H$6))</f>
        <v/>
      </c>
      <c r="V118" s="65" t="str">
        <f>IF($B118="","",COUNTIF($C118:$R118,الإعدادات!$H$7))</f>
        <v/>
      </c>
      <c r="W118" s="65" t="str">
        <f>IF($B118="","",COUNTIF($C118:$R118,الإعدادات!$H$8))</f>
        <v/>
      </c>
      <c r="X118" s="65" t="str">
        <f>IF($B118="","",COUNTIF($C118:$R118,الإعدادات!$H$9))</f>
        <v/>
      </c>
      <c r="Y118" s="65" t="str">
        <f>IF($B118="","",COUNTIF($C118:$R118,الإعدادات!$H$10))</f>
        <v/>
      </c>
      <c r="Z118" s="66" t="str">
        <f t="shared" si="2"/>
        <v/>
      </c>
      <c r="AA118" s="41"/>
      <c r="AB118" s="41"/>
      <c r="AC118" s="41"/>
      <c r="AD118" s="42"/>
      <c r="AE118" s="31"/>
    </row>
    <row r="119" spans="1:31">
      <c r="A119" s="11" t="str">
        <f>IF(OR($B$29="",$C$29="لا"),"",$A$29)</f>
        <v/>
      </c>
      <c r="B119" t="str">
        <f>IF(OR($B$29="",$C$29="لا"),"",$B$29)</f>
        <v/>
      </c>
      <c r="S119" s="65" t="str">
        <f>IF($B119="","",COUNTIF($C119:$R119,الإعدادات!$H$4))</f>
        <v/>
      </c>
      <c r="T119" s="65" t="str">
        <f>IF($B119="","",COUNTIF($C119:$R119,الإعدادات!$H$5))</f>
        <v/>
      </c>
      <c r="U119" s="65" t="str">
        <f>IF($B119="","",COUNTIF($C119:$R119,الإعدادات!$H$6))</f>
        <v/>
      </c>
      <c r="V119" s="65" t="str">
        <f>IF($B119="","",COUNTIF($C119:$R119,الإعدادات!$H$7))</f>
        <v/>
      </c>
      <c r="W119" s="65" t="str">
        <f>IF($B119="","",COUNTIF($C119:$R119,الإعدادات!$H$8))</f>
        <v/>
      </c>
      <c r="X119" s="65" t="str">
        <f>IF($B119="","",COUNTIF($C119:$R119,الإعدادات!$H$9))</f>
        <v/>
      </c>
      <c r="Y119" s="65" t="str">
        <f>IF($B119="","",COUNTIF($C119:$R119,الإعدادات!$H$10))</f>
        <v/>
      </c>
      <c r="Z119" s="66" t="str">
        <f t="shared" si="2"/>
        <v/>
      </c>
      <c r="AA119" s="41"/>
      <c r="AB119" s="41"/>
      <c r="AC119" s="41"/>
      <c r="AD119" s="42"/>
      <c r="AE119" s="31"/>
    </row>
    <row r="120" spans="1:31">
      <c r="A120" s="11" t="str">
        <f>IF(OR($B$30="",$C$30="لا"),"",$A$30)</f>
        <v/>
      </c>
      <c r="B120" t="str">
        <f>IF(OR($B$30="",$C$30="لا"),"",$B$30)</f>
        <v/>
      </c>
      <c r="S120" s="65" t="str">
        <f>IF($B120="","",COUNTIF($C120:$R120,الإعدادات!$H$4))</f>
        <v/>
      </c>
      <c r="T120" s="65" t="str">
        <f>IF($B120="","",COUNTIF($C120:$R120,الإعدادات!$H$5))</f>
        <v/>
      </c>
      <c r="U120" s="65" t="str">
        <f>IF($B120="","",COUNTIF($C120:$R120,الإعدادات!$H$6))</f>
        <v/>
      </c>
      <c r="V120" s="65" t="str">
        <f>IF($B120="","",COUNTIF($C120:$R120,الإعدادات!$H$7))</f>
        <v/>
      </c>
      <c r="W120" s="65" t="str">
        <f>IF($B120="","",COUNTIF($C120:$R120,الإعدادات!$H$8))</f>
        <v/>
      </c>
      <c r="X120" s="65" t="str">
        <f>IF($B120="","",COUNTIF($C120:$R120,الإعدادات!$H$9))</f>
        <v/>
      </c>
      <c r="Y120" s="65" t="str">
        <f>IF($B120="","",COUNTIF($C120:$R120,الإعدادات!$H$10))</f>
        <v/>
      </c>
      <c r="Z120" s="66" t="str">
        <f t="shared" si="2"/>
        <v/>
      </c>
      <c r="AA120" s="41"/>
      <c r="AB120" s="41"/>
      <c r="AC120" s="41"/>
      <c r="AD120" s="42"/>
      <c r="AE120" s="31"/>
    </row>
    <row r="121" spans="1:31">
      <c r="A121" s="11" t="str">
        <f>IF(OR($B$31="",$C$31="لا"),"",$A$31)</f>
        <v/>
      </c>
      <c r="B121" t="str">
        <f>IF(OR($B$31="",$C$31="لا"),"",$B$31)</f>
        <v/>
      </c>
      <c r="S121" s="65" t="str">
        <f>IF($B121="","",COUNTIF($C121:$R121,الإعدادات!$H$4))</f>
        <v/>
      </c>
      <c r="T121" s="65" t="str">
        <f>IF($B121="","",COUNTIF($C121:$R121,الإعدادات!$H$5))</f>
        <v/>
      </c>
      <c r="U121" s="65" t="str">
        <f>IF($B121="","",COUNTIF($C121:$R121,الإعدادات!$H$6))</f>
        <v/>
      </c>
      <c r="V121" s="65" t="str">
        <f>IF($B121="","",COUNTIF($C121:$R121,الإعدادات!$H$7))</f>
        <v/>
      </c>
      <c r="W121" s="65" t="str">
        <f>IF($B121="","",COUNTIF($C121:$R121,الإعدادات!$H$8))</f>
        <v/>
      </c>
      <c r="X121" s="65" t="str">
        <f>IF($B121="","",COUNTIF($C121:$R121,الإعدادات!$H$9))</f>
        <v/>
      </c>
      <c r="Y121" s="65" t="str">
        <f>IF($B121="","",COUNTIF($C121:$R121,الإعدادات!$H$10))</f>
        <v/>
      </c>
      <c r="Z121" s="66" t="str">
        <f t="shared" si="2"/>
        <v/>
      </c>
      <c r="AA121" s="41"/>
      <c r="AB121" s="41"/>
      <c r="AC121" s="41"/>
      <c r="AD121" s="42"/>
      <c r="AE121" s="31"/>
    </row>
    <row r="122" spans="1:31">
      <c r="A122" s="11" t="str">
        <f>IF(OR($B$32="",$C$32="لا"),"",$A$32)</f>
        <v/>
      </c>
      <c r="B122" t="str">
        <f>IF(OR($B$32="",$C$32="لا"),"",$B$32)</f>
        <v/>
      </c>
      <c r="S122" s="65" t="str">
        <f>IF($B122="","",COUNTIF($C122:$R122,الإعدادات!$H$4))</f>
        <v/>
      </c>
      <c r="T122" s="65" t="str">
        <f>IF($B122="","",COUNTIF($C122:$R122,الإعدادات!$H$5))</f>
        <v/>
      </c>
      <c r="U122" s="65" t="str">
        <f>IF($B122="","",COUNTIF($C122:$R122,الإعدادات!$H$6))</f>
        <v/>
      </c>
      <c r="V122" s="65" t="str">
        <f>IF($B122="","",COUNTIF($C122:$R122,الإعدادات!$H$7))</f>
        <v/>
      </c>
      <c r="W122" s="65" t="str">
        <f>IF($B122="","",COUNTIF($C122:$R122,الإعدادات!$H$8))</f>
        <v/>
      </c>
      <c r="X122" s="65" t="str">
        <f>IF($B122="","",COUNTIF($C122:$R122,الإعدادات!$H$9))</f>
        <v/>
      </c>
      <c r="Y122" s="65" t="str">
        <f>IF($B122="","",COUNTIF($C122:$R122,الإعدادات!$H$10))</f>
        <v/>
      </c>
      <c r="Z122" s="66" t="str">
        <f t="shared" si="2"/>
        <v/>
      </c>
      <c r="AA122" s="41"/>
      <c r="AB122" s="41"/>
      <c r="AC122" s="41"/>
      <c r="AD122" s="42"/>
      <c r="AE122" s="31"/>
    </row>
    <row r="123" spans="1:31">
      <c r="A123" s="11" t="str">
        <f>IF(OR($B$33="",$C$33="لا"),"",$A$33)</f>
        <v/>
      </c>
      <c r="B123" t="str">
        <f>IF(OR($B$33="",$C$33="لا"),"",$B$33)</f>
        <v/>
      </c>
      <c r="S123" s="65" t="str">
        <f>IF($B123="","",COUNTIF($C123:$R123,الإعدادات!$H$4))</f>
        <v/>
      </c>
      <c r="T123" s="65" t="str">
        <f>IF($B123="","",COUNTIF($C123:$R123,الإعدادات!$H$5))</f>
        <v/>
      </c>
      <c r="U123" s="65" t="str">
        <f>IF($B123="","",COUNTIF($C123:$R123,الإعدادات!$H$6))</f>
        <v/>
      </c>
      <c r="V123" s="65" t="str">
        <f>IF($B123="","",COUNTIF($C123:$R123,الإعدادات!$H$7))</f>
        <v/>
      </c>
      <c r="W123" s="65" t="str">
        <f>IF($B123="","",COUNTIF($C123:$R123,الإعدادات!$H$8))</f>
        <v/>
      </c>
      <c r="X123" s="65" t="str">
        <f>IF($B123="","",COUNTIF($C123:$R123,الإعدادات!$H$9))</f>
        <v/>
      </c>
      <c r="Y123" s="65" t="str">
        <f>IF($B123="","",COUNTIF($C123:$R123,الإعدادات!$H$10))</f>
        <v/>
      </c>
      <c r="Z123" s="66" t="str">
        <f t="shared" si="2"/>
        <v/>
      </c>
      <c r="AA123" s="41"/>
      <c r="AB123" s="41"/>
      <c r="AC123" s="41"/>
      <c r="AD123" s="42"/>
      <c r="AE123" s="31"/>
    </row>
    <row r="124" spans="1:31">
      <c r="A124" s="11" t="str">
        <f>IF(OR($B$34="",$C$34="لا"),"",$A$34)</f>
        <v/>
      </c>
      <c r="B124" t="str">
        <f>IF(OR($B$34="",$C$34="لا"),"",$B$34)</f>
        <v/>
      </c>
      <c r="S124" s="65" t="str">
        <f>IF($B124="","",COUNTIF($C124:$R124,الإعدادات!$H$4))</f>
        <v/>
      </c>
      <c r="T124" s="65" t="str">
        <f>IF($B124="","",COUNTIF($C124:$R124,الإعدادات!$H$5))</f>
        <v/>
      </c>
      <c r="U124" s="65" t="str">
        <f>IF($B124="","",COUNTIF($C124:$R124,الإعدادات!$H$6))</f>
        <v/>
      </c>
      <c r="V124" s="65" t="str">
        <f>IF($B124="","",COUNTIF($C124:$R124,الإعدادات!$H$7))</f>
        <v/>
      </c>
      <c r="W124" s="65" t="str">
        <f>IF($B124="","",COUNTIF($C124:$R124,الإعدادات!$H$8))</f>
        <v/>
      </c>
      <c r="X124" s="65" t="str">
        <f>IF($B124="","",COUNTIF($C124:$R124,الإعدادات!$H$9))</f>
        <v/>
      </c>
      <c r="Y124" s="65" t="str">
        <f>IF($B124="","",COUNTIF($C124:$R124,الإعدادات!$H$10))</f>
        <v/>
      </c>
      <c r="Z124" s="66" t="str">
        <f t="shared" si="2"/>
        <v/>
      </c>
      <c r="AA124" s="41"/>
      <c r="AB124" s="41"/>
      <c r="AC124" s="41"/>
      <c r="AD124" s="42"/>
      <c r="AE124" s="31"/>
    </row>
    <row r="125" spans="1:31">
      <c r="A125" s="11" t="str">
        <f>IF(OR($B$35="",$C$35="لا"),"",$A$35)</f>
        <v/>
      </c>
      <c r="B125" t="str">
        <f>IF(OR($B$35="",$C$35="لا"),"",$B$35)</f>
        <v/>
      </c>
      <c r="S125" s="65" t="str">
        <f>IF($B125="","",COUNTIF($C125:$R125,الإعدادات!$H$4))</f>
        <v/>
      </c>
      <c r="T125" s="65" t="str">
        <f>IF($B125="","",COUNTIF($C125:$R125,الإعدادات!$H$5))</f>
        <v/>
      </c>
      <c r="U125" s="65" t="str">
        <f>IF($B125="","",COUNTIF($C125:$R125,الإعدادات!$H$6))</f>
        <v/>
      </c>
      <c r="V125" s="65" t="str">
        <f>IF($B125="","",COUNTIF($C125:$R125,الإعدادات!$H$7))</f>
        <v/>
      </c>
      <c r="W125" s="65" t="str">
        <f>IF($B125="","",COUNTIF($C125:$R125,الإعدادات!$H$8))</f>
        <v/>
      </c>
      <c r="X125" s="65" t="str">
        <f>IF($B125="","",COUNTIF($C125:$R125,الإعدادات!$H$9))</f>
        <v/>
      </c>
      <c r="Y125" s="65" t="str">
        <f>IF($B125="","",COUNTIF($C125:$R125,الإعدادات!$H$10))</f>
        <v/>
      </c>
      <c r="Z125" s="66" t="str">
        <f t="shared" si="2"/>
        <v/>
      </c>
      <c r="AA125" s="41"/>
      <c r="AB125" s="41"/>
      <c r="AC125" s="41"/>
      <c r="AD125" s="42"/>
      <c r="AE125" s="31"/>
    </row>
    <row r="126" spans="1:31">
      <c r="A126" s="11" t="str">
        <f>IF(OR($B$36="",$C$36="لا"),"",$A$36)</f>
        <v/>
      </c>
      <c r="B126" t="str">
        <f>IF(OR($B$36="",$C$36="لا"),"",$B$36)</f>
        <v/>
      </c>
      <c r="S126" s="65" t="str">
        <f>IF($B126="","",COUNTIF($C126:$R126,الإعدادات!$H$4))</f>
        <v/>
      </c>
      <c r="T126" s="65" t="str">
        <f>IF($B126="","",COUNTIF($C126:$R126,الإعدادات!$H$5))</f>
        <v/>
      </c>
      <c r="U126" s="65" t="str">
        <f>IF($B126="","",COUNTIF($C126:$R126,الإعدادات!$H$6))</f>
        <v/>
      </c>
      <c r="V126" s="65" t="str">
        <f>IF($B126="","",COUNTIF($C126:$R126,الإعدادات!$H$7))</f>
        <v/>
      </c>
      <c r="W126" s="65" t="str">
        <f>IF($B126="","",COUNTIF($C126:$R126,الإعدادات!$H$8))</f>
        <v/>
      </c>
      <c r="X126" s="65" t="str">
        <f>IF($B126="","",COUNTIF($C126:$R126,الإعدادات!$H$9))</f>
        <v/>
      </c>
      <c r="Y126" s="65" t="str">
        <f>IF($B126="","",COUNTIF($C126:$R126,الإعدادات!$H$10))</f>
        <v/>
      </c>
      <c r="Z126" s="66" t="str">
        <f t="shared" si="2"/>
        <v/>
      </c>
      <c r="AA126" s="41"/>
      <c r="AB126" s="41"/>
      <c r="AC126" s="41"/>
      <c r="AD126" s="42"/>
      <c r="AE126" s="31"/>
    </row>
    <row r="127" spans="1:31">
      <c r="A127" s="11" t="str">
        <f>IF(OR($B$37="",$C$37="لا"),"",$A$37)</f>
        <v/>
      </c>
      <c r="B127" t="str">
        <f>IF(OR($B$37="",$C$37="لا"),"",$B$37)</f>
        <v/>
      </c>
      <c r="S127" s="65" t="str">
        <f>IF($B127="","",COUNTIF($C127:$R127,الإعدادات!$H$4))</f>
        <v/>
      </c>
      <c r="T127" s="65" t="str">
        <f>IF($B127="","",COUNTIF($C127:$R127,الإعدادات!$H$5))</f>
        <v/>
      </c>
      <c r="U127" s="65" t="str">
        <f>IF($B127="","",COUNTIF($C127:$R127,الإعدادات!$H$6))</f>
        <v/>
      </c>
      <c r="V127" s="65" t="str">
        <f>IF($B127="","",COUNTIF($C127:$R127,الإعدادات!$H$7))</f>
        <v/>
      </c>
      <c r="W127" s="65" t="str">
        <f>IF($B127="","",COUNTIF($C127:$R127,الإعدادات!$H$8))</f>
        <v/>
      </c>
      <c r="X127" s="65" t="str">
        <f>IF($B127="","",COUNTIF($C127:$R127,الإعدادات!$H$9))</f>
        <v/>
      </c>
      <c r="Y127" s="65" t="str">
        <f>IF($B127="","",COUNTIF($C127:$R127,الإعدادات!$H$10))</f>
        <v/>
      </c>
      <c r="Z127" s="66" t="str">
        <f t="shared" si="2"/>
        <v/>
      </c>
      <c r="AA127" s="41"/>
      <c r="AB127" s="41"/>
      <c r="AC127" s="41"/>
      <c r="AD127" s="42"/>
      <c r="AE127" s="31"/>
    </row>
    <row r="128" spans="1:31">
      <c r="A128" s="11" t="str">
        <f>IF(OR($B$38="",$C$38="لا"),"",$A$38)</f>
        <v/>
      </c>
      <c r="B128" t="str">
        <f>IF(OR($B$38="",$C$38="لا"),"",$B$38)</f>
        <v/>
      </c>
      <c r="S128" s="65" t="str">
        <f>IF($B128="","",COUNTIF($C128:$R128,الإعدادات!$H$4))</f>
        <v/>
      </c>
      <c r="T128" s="65" t="str">
        <f>IF($B128="","",COUNTIF($C128:$R128,الإعدادات!$H$5))</f>
        <v/>
      </c>
      <c r="U128" s="65" t="str">
        <f>IF($B128="","",COUNTIF($C128:$R128,الإعدادات!$H$6))</f>
        <v/>
      </c>
      <c r="V128" s="65" t="str">
        <f>IF($B128="","",COUNTIF($C128:$R128,الإعدادات!$H$7))</f>
        <v/>
      </c>
      <c r="W128" s="65" t="str">
        <f>IF($B128="","",COUNTIF($C128:$R128,الإعدادات!$H$8))</f>
        <v/>
      </c>
      <c r="X128" s="65" t="str">
        <f>IF($B128="","",COUNTIF($C128:$R128,الإعدادات!$H$9))</f>
        <v/>
      </c>
      <c r="Y128" s="65" t="str">
        <f>IF($B128="","",COUNTIF($C128:$R128,الإعدادات!$H$10))</f>
        <v/>
      </c>
      <c r="Z128" s="66" t="str">
        <f t="shared" si="2"/>
        <v/>
      </c>
      <c r="AA128" s="41"/>
      <c r="AB128" s="41"/>
      <c r="AC128" s="41"/>
      <c r="AD128" s="42"/>
      <c r="AE128" s="31"/>
    </row>
    <row r="129" spans="1:33">
      <c r="A129" s="11" t="str">
        <f>IF(OR($B$39="",$C$39="لا"),"",$A$39)</f>
        <v/>
      </c>
      <c r="B129" t="str">
        <f>IF(OR($B$39="",$C$39="لا"),"",$B$39)</f>
        <v/>
      </c>
      <c r="S129" s="65" t="str">
        <f>IF($B129="","",COUNTIF($C129:$R129,الإعدادات!$H$4))</f>
        <v/>
      </c>
      <c r="T129" s="65" t="str">
        <f>IF($B129="","",COUNTIF($C129:$R129,الإعدادات!$H$5))</f>
        <v/>
      </c>
      <c r="U129" s="65" t="str">
        <f>IF($B129="","",COUNTIF($C129:$R129,الإعدادات!$H$6))</f>
        <v/>
      </c>
      <c r="V129" s="65" t="str">
        <f>IF($B129="","",COUNTIF($C129:$R129,الإعدادات!$H$7))</f>
        <v/>
      </c>
      <c r="W129" s="65" t="str">
        <f>IF($B129="","",COUNTIF($C129:$R129,الإعدادات!$H$8))</f>
        <v/>
      </c>
      <c r="X129" s="65" t="str">
        <f>IF($B129="","",COUNTIF($C129:$R129,الإعدادات!$H$9))</f>
        <v/>
      </c>
      <c r="Y129" s="65" t="str">
        <f>IF($B129="","",COUNTIF($C129:$R129,الإعدادات!$H$10))</f>
        <v/>
      </c>
      <c r="Z129" s="66" t="str">
        <f t="shared" si="2"/>
        <v/>
      </c>
      <c r="AA129" s="41"/>
      <c r="AB129" s="41"/>
      <c r="AC129" s="41"/>
      <c r="AD129" s="42"/>
      <c r="AE129" s="31"/>
    </row>
    <row r="130" spans="1:33">
      <c r="A130" s="11" t="str">
        <f>IF(OR($B$40="",$C$40="لا"),"",$A$40)</f>
        <v/>
      </c>
      <c r="B130" t="str">
        <f>IF(OR($B$40="",$C$40="لا"),"",$B$40)</f>
        <v/>
      </c>
      <c r="S130" s="65" t="str">
        <f>IF($B130="","",COUNTIF($C130:$R130,الإعدادات!$H$4))</f>
        <v/>
      </c>
      <c r="T130" s="65" t="str">
        <f>IF($B130="","",COUNTIF($C130:$R130,الإعدادات!$H$5))</f>
        <v/>
      </c>
      <c r="U130" s="65" t="str">
        <f>IF($B130="","",COUNTIF($C130:$R130,الإعدادات!$H$6))</f>
        <v/>
      </c>
      <c r="V130" s="65" t="str">
        <f>IF($B130="","",COUNTIF($C130:$R130,الإعدادات!$H$7))</f>
        <v/>
      </c>
      <c r="W130" s="65" t="str">
        <f>IF($B130="","",COUNTIF($C130:$R130,الإعدادات!$H$8))</f>
        <v/>
      </c>
      <c r="X130" s="65" t="str">
        <f>IF($B130="","",COUNTIF($C130:$R130,الإعدادات!$H$9))</f>
        <v/>
      </c>
      <c r="Y130" s="65" t="str">
        <f>IF($B130="","",COUNTIF($C130:$R130,الإعدادات!$H$10))</f>
        <v/>
      </c>
      <c r="Z130" s="66" t="str">
        <f t="shared" si="2"/>
        <v/>
      </c>
      <c r="AA130" s="41"/>
      <c r="AB130" s="41"/>
      <c r="AC130" s="41"/>
      <c r="AD130" s="42"/>
      <c r="AE130" s="31"/>
    </row>
    <row r="131" spans="1:33">
      <c r="A131" s="11" t="str">
        <f>IF(OR($B$41="",$C$41="لا"),"",$A$41)</f>
        <v/>
      </c>
      <c r="B131" t="str">
        <f>IF(OR($B$41="",$C$41="لا"),"",$B$41)</f>
        <v/>
      </c>
      <c r="S131" s="65" t="str">
        <f>IF($B131="","",COUNTIF($C131:$R131,الإعدادات!$H$4))</f>
        <v/>
      </c>
      <c r="T131" s="65" t="str">
        <f>IF($B131="","",COUNTIF($C131:$R131,الإعدادات!$H$5))</f>
        <v/>
      </c>
      <c r="U131" s="65" t="str">
        <f>IF($B131="","",COUNTIF($C131:$R131,الإعدادات!$H$6))</f>
        <v/>
      </c>
      <c r="V131" s="65" t="str">
        <f>IF($B131="","",COUNTIF($C131:$R131,الإعدادات!$H$7))</f>
        <v/>
      </c>
      <c r="W131" s="65" t="str">
        <f>IF($B131="","",COUNTIF($C131:$R131,الإعدادات!$H$8))</f>
        <v/>
      </c>
      <c r="X131" s="65" t="str">
        <f>IF($B131="","",COUNTIF($C131:$R131,الإعدادات!$H$9))</f>
        <v/>
      </c>
      <c r="Y131" s="65" t="str">
        <f>IF($B131="","",COUNTIF($C131:$R131,الإعدادات!$H$10))</f>
        <v/>
      </c>
      <c r="Z131" s="66" t="str">
        <f t="shared" si="2"/>
        <v/>
      </c>
      <c r="AA131" s="41"/>
      <c r="AB131" s="41"/>
      <c r="AC131" s="41"/>
      <c r="AD131" s="42"/>
      <c r="AE131" s="31"/>
    </row>
    <row r="132" spans="1:33">
      <c r="A132" s="11" t="str">
        <f>IF(OR($B$42="",$C$42="لا"),"",$A$42)</f>
        <v/>
      </c>
      <c r="B132" t="str">
        <f>IF(OR($B$42="",$C$42="لا"),"",$B$42)</f>
        <v/>
      </c>
      <c r="S132" s="65" t="str">
        <f>IF($B132="","",COUNTIF($C132:$R132,الإعدادات!$H$4))</f>
        <v/>
      </c>
      <c r="T132" s="65" t="str">
        <f>IF($B132="","",COUNTIF($C132:$R132,الإعدادات!$H$5))</f>
        <v/>
      </c>
      <c r="U132" s="65" t="str">
        <f>IF($B132="","",COUNTIF($C132:$R132,الإعدادات!$H$6))</f>
        <v/>
      </c>
      <c r="V132" s="65" t="str">
        <f>IF($B132="","",COUNTIF($C132:$R132,الإعدادات!$H$7))</f>
        <v/>
      </c>
      <c r="W132" s="65" t="str">
        <f>IF($B132="","",COUNTIF($C132:$R132,الإعدادات!$H$8))</f>
        <v/>
      </c>
      <c r="X132" s="65" t="str">
        <f>IF($B132="","",COUNTIF($C132:$R132,الإعدادات!$H$9))</f>
        <v/>
      </c>
      <c r="Y132" s="65" t="str">
        <f>IF($B132="","",COUNTIF($C132:$R132,الإعدادات!$H$10))</f>
        <v/>
      </c>
      <c r="Z132" s="66" t="str">
        <f t="shared" si="2"/>
        <v/>
      </c>
      <c r="AA132" s="41"/>
      <c r="AB132" s="41"/>
      <c r="AC132" s="41"/>
      <c r="AD132" s="42"/>
      <c r="AE132" s="31"/>
    </row>
    <row r="133" spans="1:33">
      <c r="A133" s="11" t="str">
        <f>IF(OR($B$43="",$C$43="لا"),"",$A$43)</f>
        <v/>
      </c>
      <c r="B133" t="str">
        <f>IF(OR($B$43="",$C$43="لا"),"",$B$43)</f>
        <v/>
      </c>
      <c r="S133" s="65" t="str">
        <f>IF($B133="","",COUNTIF($C133:$R133,الإعدادات!$H$4))</f>
        <v/>
      </c>
      <c r="T133" s="65" t="str">
        <f>IF($B133="","",COUNTIF($C133:$R133,الإعدادات!$H$5))</f>
        <v/>
      </c>
      <c r="U133" s="65" t="str">
        <f>IF($B133="","",COUNTIF($C133:$R133,الإعدادات!$H$6))</f>
        <v/>
      </c>
      <c r="V133" s="65" t="str">
        <f>IF($B133="","",COUNTIF($C133:$R133,الإعدادات!$H$7))</f>
        <v/>
      </c>
      <c r="W133" s="65" t="str">
        <f>IF($B133="","",COUNTIF($C133:$R133,الإعدادات!$H$8))</f>
        <v/>
      </c>
      <c r="X133" s="65" t="str">
        <f>IF($B133="","",COUNTIF($C133:$R133,الإعدادات!$H$9))</f>
        <v/>
      </c>
      <c r="Y133" s="65" t="str">
        <f>IF($B133="","",COUNTIF($C133:$R133,الإعدادات!$H$10))</f>
        <v/>
      </c>
      <c r="Z133" s="66" t="str">
        <f t="shared" si="2"/>
        <v/>
      </c>
      <c r="AA133" s="41"/>
      <c r="AB133" s="41"/>
      <c r="AC133" s="41"/>
      <c r="AD133" s="42"/>
      <c r="AE133" s="31"/>
    </row>
    <row r="134" spans="1:33">
      <c r="A134" s="11" t="str">
        <f>IF(OR($B$44="",$C$44="لا"),"",$A$44)</f>
        <v/>
      </c>
      <c r="B134" t="str">
        <f>IF(OR($B$44="",$C$44="لا"),"",$B$44)</f>
        <v/>
      </c>
      <c r="S134" s="65" t="str">
        <f>IF($B134="","",COUNTIF($C134:$R134,الإعدادات!$H$4))</f>
        <v/>
      </c>
      <c r="T134" s="65" t="str">
        <f>IF($B134="","",COUNTIF($C134:$R134,الإعدادات!$H$5))</f>
        <v/>
      </c>
      <c r="U134" s="65" t="str">
        <f>IF($B134="","",COUNTIF($C134:$R134,الإعدادات!$H$6))</f>
        <v/>
      </c>
      <c r="V134" s="65" t="str">
        <f>IF($B134="","",COUNTIF($C134:$R134,الإعدادات!$H$7))</f>
        <v/>
      </c>
      <c r="W134" s="65" t="str">
        <f>IF($B134="","",COUNTIF($C134:$R134,الإعدادات!$H$8))</f>
        <v/>
      </c>
      <c r="X134" s="65" t="str">
        <f>IF($B134="","",COUNTIF($C134:$R134,الإعدادات!$H$9))</f>
        <v/>
      </c>
      <c r="Y134" s="65" t="str">
        <f>IF($B134="","",COUNTIF($C134:$R134,الإعدادات!$H$10))</f>
        <v/>
      </c>
      <c r="Z134" s="66" t="str">
        <f t="shared" si="2"/>
        <v/>
      </c>
      <c r="AA134" s="41"/>
      <c r="AB134" s="41"/>
      <c r="AC134" s="41"/>
      <c r="AD134" s="42"/>
      <c r="AE134" s="31"/>
    </row>
    <row r="135" spans="1:33">
      <c r="A135" s="11" t="str">
        <f>IF(OR($B$45="",$C$45="لا"),"",$A$45)</f>
        <v/>
      </c>
      <c r="B135" t="str">
        <f>IF(OR($B$45="",$C$45="لا"),"",$B$45)</f>
        <v/>
      </c>
      <c r="S135" s="65" t="str">
        <f>IF($B135="","",COUNTIF($C135:$R135,الإعدادات!$H$4))</f>
        <v/>
      </c>
      <c r="T135" s="65" t="str">
        <f>IF($B135="","",COUNTIF($C135:$R135,الإعدادات!$H$5))</f>
        <v/>
      </c>
      <c r="U135" s="65" t="str">
        <f>IF($B135="","",COUNTIF($C135:$R135,الإعدادات!$H$6))</f>
        <v/>
      </c>
      <c r="V135" s="65" t="str">
        <f>IF($B135="","",COUNTIF($C135:$R135,الإعدادات!$H$7))</f>
        <v/>
      </c>
      <c r="W135" s="65" t="str">
        <f>IF($B135="","",COUNTIF($C135:$R135,الإعدادات!$H$8))</f>
        <v/>
      </c>
      <c r="X135" s="65" t="str">
        <f>IF($B135="","",COUNTIF($C135:$R135,الإعدادات!$H$9))</f>
        <v/>
      </c>
      <c r="Y135" s="65" t="str">
        <f>IF($B135="","",COUNTIF($C135:$R135,الإعدادات!$H$10))</f>
        <v/>
      </c>
      <c r="Z135" s="66" t="str">
        <f t="shared" si="2"/>
        <v/>
      </c>
      <c r="AA135" s="41"/>
      <c r="AB135" s="41"/>
      <c r="AC135" s="41"/>
      <c r="AD135" s="42"/>
      <c r="AE135" s="31"/>
    </row>
    <row r="136" spans="1:33">
      <c r="A136" s="11" t="str">
        <f>IF(OR($B$46="",$C$46="لا"),"",$A$46)</f>
        <v/>
      </c>
      <c r="B136" t="str">
        <f>IF(OR($B$46="",$C$46="لا"),"",$B$46)</f>
        <v/>
      </c>
      <c r="S136" s="65" t="str">
        <f>IF($B136="","",COUNTIF($C136:$R136,الإعدادات!$H$4))</f>
        <v/>
      </c>
      <c r="T136" s="65" t="str">
        <f>IF($B136="","",COUNTIF($C136:$R136,الإعدادات!$H$5))</f>
        <v/>
      </c>
      <c r="U136" s="65" t="str">
        <f>IF($B136="","",COUNTIF($C136:$R136,الإعدادات!$H$6))</f>
        <v/>
      </c>
      <c r="V136" s="65" t="str">
        <f>IF($B136="","",COUNTIF($C136:$R136,الإعدادات!$H$7))</f>
        <v/>
      </c>
      <c r="W136" s="65" t="str">
        <f>IF($B136="","",COUNTIF($C136:$R136,الإعدادات!$H$8))</f>
        <v/>
      </c>
      <c r="X136" s="65" t="str">
        <f>IF($B136="","",COUNTIF($C136:$R136,الإعدادات!$H$9))</f>
        <v/>
      </c>
      <c r="Y136" s="65" t="str">
        <f>IF($B136="","",COUNTIF($C136:$R136,الإعدادات!$H$10))</f>
        <v/>
      </c>
      <c r="Z136" s="66" t="str">
        <f t="shared" si="2"/>
        <v/>
      </c>
      <c r="AA136" s="41"/>
      <c r="AB136" s="41"/>
      <c r="AC136" s="41"/>
      <c r="AD136" s="42"/>
      <c r="AE136" s="31"/>
    </row>
    <row r="137" spans="1:33">
      <c r="A137" s="11" t="str">
        <f>IF(OR($B$47="",$C$47="لا"),"",$A$47)</f>
        <v/>
      </c>
      <c r="B137" t="str">
        <f>IF(OR($B$47="",$C$47="لا"),"",$B$47)</f>
        <v/>
      </c>
      <c r="S137" s="65" t="str">
        <f>IF($B137="","",COUNTIF($C137:$R137,الإعدادات!$H$4))</f>
        <v/>
      </c>
      <c r="T137" s="65" t="str">
        <f>IF($B137="","",COUNTIF($C137:$R137,الإعدادات!$H$5))</f>
        <v/>
      </c>
      <c r="U137" s="65" t="str">
        <f>IF($B137="","",COUNTIF($C137:$R137,الإعدادات!$H$6))</f>
        <v/>
      </c>
      <c r="V137" s="65" t="str">
        <f>IF($B137="","",COUNTIF($C137:$R137,الإعدادات!$H$7))</f>
        <v/>
      </c>
      <c r="W137" s="65" t="str">
        <f>IF($B137="","",COUNTIF($C137:$R137,الإعدادات!$H$8))</f>
        <v/>
      </c>
      <c r="X137" s="65" t="str">
        <f>IF($B137="","",COUNTIF($C137:$R137,الإعدادات!$H$9))</f>
        <v/>
      </c>
      <c r="Y137" s="65" t="str">
        <f>IF($B137="","",COUNTIF($C137:$R137,الإعدادات!$H$10))</f>
        <v/>
      </c>
      <c r="Z137" s="66" t="str">
        <f t="shared" si="2"/>
        <v/>
      </c>
      <c r="AA137" s="41"/>
      <c r="AB137" s="41"/>
      <c r="AC137" s="41"/>
      <c r="AD137" s="42"/>
      <c r="AE137" s="31"/>
    </row>
    <row r="138" spans="1:33">
      <c r="A138" s="13" t="str">
        <f>IF(OR($B$48="",$C$48="لا"),"",$A$48)</f>
        <v/>
      </c>
      <c r="B138" s="14" t="str">
        <f>IF(OR($B$48="",$C$48="لا"),"",$B$48)</f>
        <v/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67" t="str">
        <f>IF($B138="","",COUNTIF($C138:$R138,الإعدادات!$H$4))</f>
        <v/>
      </c>
      <c r="T138" s="67" t="str">
        <f>IF($B138="","",COUNTIF($C138:$R138,الإعدادات!$H$5))</f>
        <v/>
      </c>
      <c r="U138" s="67" t="str">
        <f>IF($B138="","",COUNTIF($C138:$R138,الإعدادات!$H$6))</f>
        <v/>
      </c>
      <c r="V138" s="67" t="str">
        <f>IF($B138="","",COUNTIF($C138:$R138,الإعدادات!$H$7))</f>
        <v/>
      </c>
      <c r="W138" s="67" t="str">
        <f>IF($B138="","",COUNTIF($C138:$R138,الإعدادات!$H$8))</f>
        <v/>
      </c>
      <c r="X138" s="67" t="str">
        <f>IF($B138="","",COUNTIF($C138:$R138,الإعدادات!$H$9))</f>
        <v/>
      </c>
      <c r="Y138" s="67" t="str">
        <f>IF($B138="","",COUNTIF($C138:$R138,الإعدادات!$H$10))</f>
        <v/>
      </c>
      <c r="Z138" s="68" t="str">
        <f t="shared" si="2"/>
        <v/>
      </c>
      <c r="AA138" s="43"/>
      <c r="AB138" s="43"/>
      <c r="AC138" s="43"/>
      <c r="AD138" s="44"/>
      <c r="AE138" s="33"/>
    </row>
    <row r="142" spans="1:33" ht="16.5">
      <c r="A142" s="91" t="s">
        <v>170</v>
      </c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38"/>
    </row>
    <row r="143" spans="1:33">
      <c r="A143" s="92" t="s">
        <v>128</v>
      </c>
      <c r="B143" s="92"/>
      <c r="C143" s="92" t="s">
        <v>129</v>
      </c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 t="s">
        <v>130</v>
      </c>
      <c r="Z143" s="92"/>
      <c r="AA143" s="92"/>
      <c r="AB143" s="92"/>
      <c r="AC143" s="92"/>
      <c r="AD143" s="92"/>
      <c r="AE143" s="92"/>
      <c r="AF143" s="92"/>
      <c r="AG143" s="36"/>
    </row>
    <row r="144" spans="1:33" ht="38.1" customHeight="1">
      <c r="A144" s="62" t="s">
        <v>116</v>
      </c>
      <c r="B144" s="62" t="s">
        <v>117</v>
      </c>
      <c r="C144" s="62" t="s">
        <v>171</v>
      </c>
      <c r="D144" s="62" t="s">
        <v>172</v>
      </c>
      <c r="E144" s="62" t="s">
        <v>173</v>
      </c>
      <c r="F144" s="62" t="s">
        <v>174</v>
      </c>
      <c r="G144" s="62" t="s">
        <v>175</v>
      </c>
      <c r="H144" s="62" t="s">
        <v>176</v>
      </c>
      <c r="I144" s="62" t="s">
        <v>177</v>
      </c>
      <c r="J144" s="62" t="s">
        <v>178</v>
      </c>
      <c r="K144" s="62" t="s">
        <v>179</v>
      </c>
      <c r="L144" s="62" t="s">
        <v>180</v>
      </c>
      <c r="M144" s="62" t="s">
        <v>181</v>
      </c>
      <c r="N144" s="62" t="s">
        <v>182</v>
      </c>
      <c r="O144" s="62" t="s">
        <v>183</v>
      </c>
      <c r="P144" s="62" t="s">
        <v>184</v>
      </c>
      <c r="Q144" s="62" t="s">
        <v>185</v>
      </c>
      <c r="R144" s="62" t="s">
        <v>186</v>
      </c>
      <c r="S144" s="62" t="s">
        <v>187</v>
      </c>
      <c r="T144" s="62" t="s">
        <v>188</v>
      </c>
      <c r="U144" s="62" t="s">
        <v>189</v>
      </c>
      <c r="V144" s="62" t="s">
        <v>190</v>
      </c>
      <c r="W144" s="62" t="s">
        <v>191</v>
      </c>
      <c r="X144" s="62" t="s">
        <v>192</v>
      </c>
      <c r="Y144" s="62" t="str">
        <f>الإعدادات!H4</f>
        <v>كتاب</v>
      </c>
      <c r="Z144" s="62" t="str">
        <f>الإعدادات!H5</f>
        <v>نوم</v>
      </c>
      <c r="AA144" s="62" t="str">
        <f>الإعدادات!H6</f>
        <v>سلوك</v>
      </c>
      <c r="AB144" s="62" t="str">
        <f>الإعدادات!H7</f>
        <v>غياب</v>
      </c>
      <c r="AC144" s="62" t="str">
        <f>الإعدادات!H8</f>
        <v>تأخر</v>
      </c>
      <c r="AD144" s="62" t="str">
        <f>الإعدادات!H9</f>
        <v>حل الواجبات</v>
      </c>
      <c r="AE144" s="62" t="str">
        <f>الإعدادات!H10</f>
        <v>تميز ★</v>
      </c>
      <c r="AF144" s="62" t="s">
        <v>110</v>
      </c>
      <c r="AG144" s="37"/>
    </row>
    <row r="145" spans="1:33">
      <c r="A145" s="8" t="str">
        <f>IF(OR($B$9="",$C$9="لا"),"",$A$9)</f>
        <v/>
      </c>
      <c r="B145" s="9" t="str">
        <f>IF(OR($B$9="",$C$9="لا"),"",$B$9)</f>
        <v/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63" t="str">
        <f>IF($B145="","",COUNTIF($C145:$X145,الإعدادات!$H$4))</f>
        <v/>
      </c>
      <c r="Z145" s="63" t="str">
        <f>IF($B145="","",COUNTIF($C145:$X145,الإعدادات!$H$5))</f>
        <v/>
      </c>
      <c r="AA145" s="63" t="str">
        <f>IF($B145="","",COUNTIF($C145:$X145,الإعدادات!$H$6))</f>
        <v/>
      </c>
      <c r="AB145" s="63" t="str">
        <f>IF($B145="","",COUNTIF($C145:$X145,الإعدادات!$H$7))</f>
        <v/>
      </c>
      <c r="AC145" s="63" t="str">
        <f>IF($B145="","",COUNTIF($C145:$X145,الإعدادات!$H$8))</f>
        <v/>
      </c>
      <c r="AD145" s="63" t="str">
        <f>IF($B145="","",COUNTIF($C145:$X145,الإعدادات!$H$9))</f>
        <v/>
      </c>
      <c r="AE145" s="63" t="str">
        <f>IF($B145="","",COUNTIF($C145:$X145,الإعدادات!$H$10))</f>
        <v/>
      </c>
      <c r="AF145" s="64" t="str">
        <f t="shared" ref="AF145:AF184" si="3">IF($B145="","",SUM(Y145:AC145))</f>
        <v/>
      </c>
      <c r="AG145" s="40"/>
    </row>
    <row r="146" spans="1:33">
      <c r="A146" s="11" t="str">
        <f>IF(OR($B$10="",$C$10="لا"),"",$A$10)</f>
        <v/>
      </c>
      <c r="B146" t="str">
        <f>IF(OR($B$10="",$C$10="لا"),"",$B$10)</f>
        <v/>
      </c>
      <c r="Y146" s="65" t="str">
        <f>IF($B146="","",COUNTIF($C146:$X146,الإعدادات!$H$4))</f>
        <v/>
      </c>
      <c r="Z146" s="65" t="str">
        <f>IF($B146="","",COUNTIF($C146:$X146,الإعدادات!$H$5))</f>
        <v/>
      </c>
      <c r="AA146" s="65" t="str">
        <f>IF($B146="","",COUNTIF($C146:$X146,الإعدادات!$H$6))</f>
        <v/>
      </c>
      <c r="AB146" s="65" t="str">
        <f>IF($B146="","",COUNTIF($C146:$X146,الإعدادات!$H$7))</f>
        <v/>
      </c>
      <c r="AC146" s="65" t="str">
        <f>IF($B146="","",COUNTIF($C146:$X146,الإعدادات!$H$8))</f>
        <v/>
      </c>
      <c r="AD146" s="65" t="str">
        <f>IF($B146="","",COUNTIF($C146:$X146,الإعدادات!$H$9))</f>
        <v/>
      </c>
      <c r="AE146" s="65" t="str">
        <f>IF($B146="","",COUNTIF($C146:$X146,الإعدادات!$H$10))</f>
        <v/>
      </c>
      <c r="AF146" s="66" t="str">
        <f t="shared" si="3"/>
        <v/>
      </c>
      <c r="AG146" s="42"/>
    </row>
    <row r="147" spans="1:33">
      <c r="A147" s="11" t="str">
        <f>IF(OR($B$11="",$C$11="لا"),"",$A$11)</f>
        <v/>
      </c>
      <c r="B147" t="str">
        <f>IF(OR($B$11="",$C$11="لا"),"",$B$11)</f>
        <v/>
      </c>
      <c r="Y147" s="65" t="str">
        <f>IF($B147="","",COUNTIF($C147:$X147,الإعدادات!$H$4))</f>
        <v/>
      </c>
      <c r="Z147" s="65" t="str">
        <f>IF($B147="","",COUNTIF($C147:$X147,الإعدادات!$H$5))</f>
        <v/>
      </c>
      <c r="AA147" s="65" t="str">
        <f>IF($B147="","",COUNTIF($C147:$X147,الإعدادات!$H$6))</f>
        <v/>
      </c>
      <c r="AB147" s="65" t="str">
        <f>IF($B147="","",COUNTIF($C147:$X147,الإعدادات!$H$7))</f>
        <v/>
      </c>
      <c r="AC147" s="65" t="str">
        <f>IF($B147="","",COUNTIF($C147:$X147,الإعدادات!$H$8))</f>
        <v/>
      </c>
      <c r="AD147" s="65" t="str">
        <f>IF($B147="","",COUNTIF($C147:$X147,الإعدادات!$H$9))</f>
        <v/>
      </c>
      <c r="AE147" s="65" t="str">
        <f>IF($B147="","",COUNTIF($C147:$X147,الإعدادات!$H$10))</f>
        <v/>
      </c>
      <c r="AF147" s="66" t="str">
        <f t="shared" si="3"/>
        <v/>
      </c>
      <c r="AG147" s="42"/>
    </row>
    <row r="148" spans="1:33">
      <c r="A148" s="11" t="str">
        <f>IF(OR($B$12="",$C$12="لا"),"",$A$12)</f>
        <v/>
      </c>
      <c r="B148" t="str">
        <f>IF(OR($B$12="",$C$12="لا"),"",$B$12)</f>
        <v/>
      </c>
      <c r="Y148" s="65" t="str">
        <f>IF($B148="","",COUNTIF($C148:$X148,الإعدادات!$H$4))</f>
        <v/>
      </c>
      <c r="Z148" s="65" t="str">
        <f>IF($B148="","",COUNTIF($C148:$X148,الإعدادات!$H$5))</f>
        <v/>
      </c>
      <c r="AA148" s="65" t="str">
        <f>IF($B148="","",COUNTIF($C148:$X148,الإعدادات!$H$6))</f>
        <v/>
      </c>
      <c r="AB148" s="65" t="str">
        <f>IF($B148="","",COUNTIF($C148:$X148,الإعدادات!$H$7))</f>
        <v/>
      </c>
      <c r="AC148" s="65" t="str">
        <f>IF($B148="","",COUNTIF($C148:$X148,الإعدادات!$H$8))</f>
        <v/>
      </c>
      <c r="AD148" s="65" t="str">
        <f>IF($B148="","",COUNTIF($C148:$X148,الإعدادات!$H$9))</f>
        <v/>
      </c>
      <c r="AE148" s="65" t="str">
        <f>IF($B148="","",COUNTIF($C148:$X148,الإعدادات!$H$10))</f>
        <v/>
      </c>
      <c r="AF148" s="66" t="str">
        <f t="shared" si="3"/>
        <v/>
      </c>
      <c r="AG148" s="42"/>
    </row>
    <row r="149" spans="1:33">
      <c r="A149" s="11" t="str">
        <f>IF(OR($B$13="",$C$13="لا"),"",$A$13)</f>
        <v/>
      </c>
      <c r="B149" t="str">
        <f>IF(OR($B$13="",$C$13="لا"),"",$B$13)</f>
        <v/>
      </c>
      <c r="Y149" s="65" t="str">
        <f>IF($B149="","",COUNTIF($C149:$X149,الإعدادات!$H$4))</f>
        <v/>
      </c>
      <c r="Z149" s="65" t="str">
        <f>IF($B149="","",COUNTIF($C149:$X149,الإعدادات!$H$5))</f>
        <v/>
      </c>
      <c r="AA149" s="65" t="str">
        <f>IF($B149="","",COUNTIF($C149:$X149,الإعدادات!$H$6))</f>
        <v/>
      </c>
      <c r="AB149" s="65" t="str">
        <f>IF($B149="","",COUNTIF($C149:$X149,الإعدادات!$H$7))</f>
        <v/>
      </c>
      <c r="AC149" s="65" t="str">
        <f>IF($B149="","",COUNTIF($C149:$X149,الإعدادات!$H$8))</f>
        <v/>
      </c>
      <c r="AD149" s="65" t="str">
        <f>IF($B149="","",COUNTIF($C149:$X149,الإعدادات!$H$9))</f>
        <v/>
      </c>
      <c r="AE149" s="65" t="str">
        <f>IF($B149="","",COUNTIF($C149:$X149,الإعدادات!$H$10))</f>
        <v/>
      </c>
      <c r="AF149" s="66" t="str">
        <f t="shared" si="3"/>
        <v/>
      </c>
      <c r="AG149" s="42"/>
    </row>
    <row r="150" spans="1:33">
      <c r="A150" s="11" t="str">
        <f>IF(OR($B$14="",$C$14="لا"),"",$A$14)</f>
        <v/>
      </c>
      <c r="B150" t="str">
        <f>IF(OR($B$14="",$C$14="لا"),"",$B$14)</f>
        <v/>
      </c>
      <c r="Y150" s="65" t="str">
        <f>IF($B150="","",COUNTIF($C150:$X150,الإعدادات!$H$4))</f>
        <v/>
      </c>
      <c r="Z150" s="65" t="str">
        <f>IF($B150="","",COUNTIF($C150:$X150,الإعدادات!$H$5))</f>
        <v/>
      </c>
      <c r="AA150" s="65" t="str">
        <f>IF($B150="","",COUNTIF($C150:$X150,الإعدادات!$H$6))</f>
        <v/>
      </c>
      <c r="AB150" s="65" t="str">
        <f>IF($B150="","",COUNTIF($C150:$X150,الإعدادات!$H$7))</f>
        <v/>
      </c>
      <c r="AC150" s="65" t="str">
        <f>IF($B150="","",COUNTIF($C150:$X150,الإعدادات!$H$8))</f>
        <v/>
      </c>
      <c r="AD150" s="65" t="str">
        <f>IF($B150="","",COUNTIF($C150:$X150,الإعدادات!$H$9))</f>
        <v/>
      </c>
      <c r="AE150" s="65" t="str">
        <f>IF($B150="","",COUNTIF($C150:$X150,الإعدادات!$H$10))</f>
        <v/>
      </c>
      <c r="AF150" s="66" t="str">
        <f t="shared" si="3"/>
        <v/>
      </c>
      <c r="AG150" s="42"/>
    </row>
    <row r="151" spans="1:33">
      <c r="A151" s="11" t="str">
        <f>IF(OR($B$15="",$C$15="لا"),"",$A$15)</f>
        <v/>
      </c>
      <c r="B151" t="str">
        <f>IF(OR($B$15="",$C$15="لا"),"",$B$15)</f>
        <v/>
      </c>
      <c r="Y151" s="65" t="str">
        <f>IF($B151="","",COUNTIF($C151:$X151,الإعدادات!$H$4))</f>
        <v/>
      </c>
      <c r="Z151" s="65" t="str">
        <f>IF($B151="","",COUNTIF($C151:$X151,الإعدادات!$H$5))</f>
        <v/>
      </c>
      <c r="AA151" s="65" t="str">
        <f>IF($B151="","",COUNTIF($C151:$X151,الإعدادات!$H$6))</f>
        <v/>
      </c>
      <c r="AB151" s="65" t="str">
        <f>IF($B151="","",COUNTIF($C151:$X151,الإعدادات!$H$7))</f>
        <v/>
      </c>
      <c r="AC151" s="65" t="str">
        <f>IF($B151="","",COUNTIF($C151:$X151,الإعدادات!$H$8))</f>
        <v/>
      </c>
      <c r="AD151" s="65" t="str">
        <f>IF($B151="","",COUNTIF($C151:$X151,الإعدادات!$H$9))</f>
        <v/>
      </c>
      <c r="AE151" s="65" t="str">
        <f>IF($B151="","",COUNTIF($C151:$X151,الإعدادات!$H$10))</f>
        <v/>
      </c>
      <c r="AF151" s="66" t="str">
        <f t="shared" si="3"/>
        <v/>
      </c>
      <c r="AG151" s="42"/>
    </row>
    <row r="152" spans="1:33">
      <c r="A152" s="11" t="str">
        <f>IF(OR($B$16="",$C$16="لا"),"",$A$16)</f>
        <v/>
      </c>
      <c r="B152" t="str">
        <f>IF(OR($B$16="",$C$16="لا"),"",$B$16)</f>
        <v/>
      </c>
      <c r="Y152" s="65" t="str">
        <f>IF($B152="","",COUNTIF($C152:$X152,الإعدادات!$H$4))</f>
        <v/>
      </c>
      <c r="Z152" s="65" t="str">
        <f>IF($B152="","",COUNTIF($C152:$X152,الإعدادات!$H$5))</f>
        <v/>
      </c>
      <c r="AA152" s="65" t="str">
        <f>IF($B152="","",COUNTIF($C152:$X152,الإعدادات!$H$6))</f>
        <v/>
      </c>
      <c r="AB152" s="65" t="str">
        <f>IF($B152="","",COUNTIF($C152:$X152,الإعدادات!$H$7))</f>
        <v/>
      </c>
      <c r="AC152" s="65" t="str">
        <f>IF($B152="","",COUNTIF($C152:$X152,الإعدادات!$H$8))</f>
        <v/>
      </c>
      <c r="AD152" s="65" t="str">
        <f>IF($B152="","",COUNTIF($C152:$X152,الإعدادات!$H$9))</f>
        <v/>
      </c>
      <c r="AE152" s="65" t="str">
        <f>IF($B152="","",COUNTIF($C152:$X152,الإعدادات!$H$10))</f>
        <v/>
      </c>
      <c r="AF152" s="66" t="str">
        <f t="shared" si="3"/>
        <v/>
      </c>
      <c r="AG152" s="42"/>
    </row>
    <row r="153" spans="1:33">
      <c r="A153" s="11" t="str">
        <f>IF(OR($B$17="",$C$17="لا"),"",$A$17)</f>
        <v/>
      </c>
      <c r="B153" t="str">
        <f>IF(OR($B$17="",$C$17="لا"),"",$B$17)</f>
        <v/>
      </c>
      <c r="Y153" s="65" t="str">
        <f>IF($B153="","",COUNTIF($C153:$X153,الإعدادات!$H$4))</f>
        <v/>
      </c>
      <c r="Z153" s="65" t="str">
        <f>IF($B153="","",COUNTIF($C153:$X153,الإعدادات!$H$5))</f>
        <v/>
      </c>
      <c r="AA153" s="65" t="str">
        <f>IF($B153="","",COUNTIF($C153:$X153,الإعدادات!$H$6))</f>
        <v/>
      </c>
      <c r="AB153" s="65" t="str">
        <f>IF($B153="","",COUNTIF($C153:$X153,الإعدادات!$H$7))</f>
        <v/>
      </c>
      <c r="AC153" s="65" t="str">
        <f>IF($B153="","",COUNTIF($C153:$X153,الإعدادات!$H$8))</f>
        <v/>
      </c>
      <c r="AD153" s="65" t="str">
        <f>IF($B153="","",COUNTIF($C153:$X153,الإعدادات!$H$9))</f>
        <v/>
      </c>
      <c r="AE153" s="65" t="str">
        <f>IF($B153="","",COUNTIF($C153:$X153,الإعدادات!$H$10))</f>
        <v/>
      </c>
      <c r="AF153" s="66" t="str">
        <f t="shared" si="3"/>
        <v/>
      </c>
      <c r="AG153" s="42"/>
    </row>
    <row r="154" spans="1:33">
      <c r="A154" s="11" t="str">
        <f>IF(OR($B$18="",$C$18="لا"),"",$A$18)</f>
        <v/>
      </c>
      <c r="B154" t="str">
        <f>IF(OR($B$18="",$C$18="لا"),"",$B$18)</f>
        <v/>
      </c>
      <c r="Y154" s="65" t="str">
        <f>IF($B154="","",COUNTIF($C154:$X154,الإعدادات!$H$4))</f>
        <v/>
      </c>
      <c r="Z154" s="65" t="str">
        <f>IF($B154="","",COUNTIF($C154:$X154,الإعدادات!$H$5))</f>
        <v/>
      </c>
      <c r="AA154" s="65" t="str">
        <f>IF($B154="","",COUNTIF($C154:$X154,الإعدادات!$H$6))</f>
        <v/>
      </c>
      <c r="AB154" s="65" t="str">
        <f>IF($B154="","",COUNTIF($C154:$X154,الإعدادات!$H$7))</f>
        <v/>
      </c>
      <c r="AC154" s="65" t="str">
        <f>IF($B154="","",COUNTIF($C154:$X154,الإعدادات!$H$8))</f>
        <v/>
      </c>
      <c r="AD154" s="65" t="str">
        <f>IF($B154="","",COUNTIF($C154:$X154,الإعدادات!$H$9))</f>
        <v/>
      </c>
      <c r="AE154" s="65" t="str">
        <f>IF($B154="","",COUNTIF($C154:$X154,الإعدادات!$H$10))</f>
        <v/>
      </c>
      <c r="AF154" s="66" t="str">
        <f t="shared" si="3"/>
        <v/>
      </c>
      <c r="AG154" s="42"/>
    </row>
    <row r="155" spans="1:33">
      <c r="A155" s="11" t="str">
        <f>IF(OR($B$19="",$C$19="لا"),"",$A$19)</f>
        <v/>
      </c>
      <c r="B155" t="str">
        <f>IF(OR($B$19="",$C$19="لا"),"",$B$19)</f>
        <v/>
      </c>
      <c r="Y155" s="65" t="str">
        <f>IF($B155="","",COUNTIF($C155:$X155,الإعدادات!$H$4))</f>
        <v/>
      </c>
      <c r="Z155" s="65" t="str">
        <f>IF($B155="","",COUNTIF($C155:$X155,الإعدادات!$H$5))</f>
        <v/>
      </c>
      <c r="AA155" s="65" t="str">
        <f>IF($B155="","",COUNTIF($C155:$X155,الإعدادات!$H$6))</f>
        <v/>
      </c>
      <c r="AB155" s="65" t="str">
        <f>IF($B155="","",COUNTIF($C155:$X155,الإعدادات!$H$7))</f>
        <v/>
      </c>
      <c r="AC155" s="65" t="str">
        <f>IF($B155="","",COUNTIF($C155:$X155,الإعدادات!$H$8))</f>
        <v/>
      </c>
      <c r="AD155" s="65" t="str">
        <f>IF($B155="","",COUNTIF($C155:$X155,الإعدادات!$H$9))</f>
        <v/>
      </c>
      <c r="AE155" s="65" t="str">
        <f>IF($B155="","",COUNTIF($C155:$X155,الإعدادات!$H$10))</f>
        <v/>
      </c>
      <c r="AF155" s="66" t="str">
        <f t="shared" si="3"/>
        <v/>
      </c>
      <c r="AG155" s="42"/>
    </row>
    <row r="156" spans="1:33">
      <c r="A156" s="11" t="str">
        <f>IF(OR($B$20="",$C$20="لا"),"",$A$20)</f>
        <v/>
      </c>
      <c r="B156" t="str">
        <f>IF(OR($B$20="",$C$20="لا"),"",$B$20)</f>
        <v/>
      </c>
      <c r="Y156" s="65" t="str">
        <f>IF($B156="","",COUNTIF($C156:$X156,الإعدادات!$H$4))</f>
        <v/>
      </c>
      <c r="Z156" s="65" t="str">
        <f>IF($B156="","",COUNTIF($C156:$X156,الإعدادات!$H$5))</f>
        <v/>
      </c>
      <c r="AA156" s="65" t="str">
        <f>IF($B156="","",COUNTIF($C156:$X156,الإعدادات!$H$6))</f>
        <v/>
      </c>
      <c r="AB156" s="65" t="str">
        <f>IF($B156="","",COUNTIF($C156:$X156,الإعدادات!$H$7))</f>
        <v/>
      </c>
      <c r="AC156" s="65" t="str">
        <f>IF($B156="","",COUNTIF($C156:$X156,الإعدادات!$H$8))</f>
        <v/>
      </c>
      <c r="AD156" s="65" t="str">
        <f>IF($B156="","",COUNTIF($C156:$X156,الإعدادات!$H$9))</f>
        <v/>
      </c>
      <c r="AE156" s="65" t="str">
        <f>IF($B156="","",COUNTIF($C156:$X156,الإعدادات!$H$10))</f>
        <v/>
      </c>
      <c r="AF156" s="66" t="str">
        <f t="shared" si="3"/>
        <v/>
      </c>
      <c r="AG156" s="42"/>
    </row>
    <row r="157" spans="1:33">
      <c r="A157" s="11" t="str">
        <f>IF(OR($B$21="",$C$21="لا"),"",$A$21)</f>
        <v/>
      </c>
      <c r="B157" t="str">
        <f>IF(OR($B$21="",$C$21="لا"),"",$B$21)</f>
        <v/>
      </c>
      <c r="Y157" s="65" t="str">
        <f>IF($B157="","",COUNTIF($C157:$X157,الإعدادات!$H$4))</f>
        <v/>
      </c>
      <c r="Z157" s="65" t="str">
        <f>IF($B157="","",COUNTIF($C157:$X157,الإعدادات!$H$5))</f>
        <v/>
      </c>
      <c r="AA157" s="65" t="str">
        <f>IF($B157="","",COUNTIF($C157:$X157,الإعدادات!$H$6))</f>
        <v/>
      </c>
      <c r="AB157" s="65" t="str">
        <f>IF($B157="","",COUNTIF($C157:$X157,الإعدادات!$H$7))</f>
        <v/>
      </c>
      <c r="AC157" s="65" t="str">
        <f>IF($B157="","",COUNTIF($C157:$X157,الإعدادات!$H$8))</f>
        <v/>
      </c>
      <c r="AD157" s="65" t="str">
        <f>IF($B157="","",COUNTIF($C157:$X157,الإعدادات!$H$9))</f>
        <v/>
      </c>
      <c r="AE157" s="65" t="str">
        <f>IF($B157="","",COUNTIF($C157:$X157,الإعدادات!$H$10))</f>
        <v/>
      </c>
      <c r="AF157" s="66" t="str">
        <f t="shared" si="3"/>
        <v/>
      </c>
      <c r="AG157" s="42"/>
    </row>
    <row r="158" spans="1:33">
      <c r="A158" s="11" t="str">
        <f>IF(OR($B$22="",$C$22="لا"),"",$A$22)</f>
        <v/>
      </c>
      <c r="B158" t="str">
        <f>IF(OR($B$22="",$C$22="لا"),"",$B$22)</f>
        <v/>
      </c>
      <c r="Y158" s="65" t="str">
        <f>IF($B158="","",COUNTIF($C158:$X158,الإعدادات!$H$4))</f>
        <v/>
      </c>
      <c r="Z158" s="65" t="str">
        <f>IF($B158="","",COUNTIF($C158:$X158,الإعدادات!$H$5))</f>
        <v/>
      </c>
      <c r="AA158" s="65" t="str">
        <f>IF($B158="","",COUNTIF($C158:$X158,الإعدادات!$H$6))</f>
        <v/>
      </c>
      <c r="AB158" s="65" t="str">
        <f>IF($B158="","",COUNTIF($C158:$X158,الإعدادات!$H$7))</f>
        <v/>
      </c>
      <c r="AC158" s="65" t="str">
        <f>IF($B158="","",COUNTIF($C158:$X158,الإعدادات!$H$8))</f>
        <v/>
      </c>
      <c r="AD158" s="65" t="str">
        <f>IF($B158="","",COUNTIF($C158:$X158,الإعدادات!$H$9))</f>
        <v/>
      </c>
      <c r="AE158" s="65" t="str">
        <f>IF($B158="","",COUNTIF($C158:$X158,الإعدادات!$H$10))</f>
        <v/>
      </c>
      <c r="AF158" s="66" t="str">
        <f t="shared" si="3"/>
        <v/>
      </c>
      <c r="AG158" s="42"/>
    </row>
    <row r="159" spans="1:33">
      <c r="A159" s="11" t="str">
        <f>IF(OR($B$23="",$C$23="لا"),"",$A$23)</f>
        <v/>
      </c>
      <c r="B159" t="str">
        <f>IF(OR($B$23="",$C$23="لا"),"",$B$23)</f>
        <v/>
      </c>
      <c r="Y159" s="65" t="str">
        <f>IF($B159="","",COUNTIF($C159:$X159,الإعدادات!$H$4))</f>
        <v/>
      </c>
      <c r="Z159" s="65" t="str">
        <f>IF($B159="","",COUNTIF($C159:$X159,الإعدادات!$H$5))</f>
        <v/>
      </c>
      <c r="AA159" s="65" t="str">
        <f>IF($B159="","",COUNTIF($C159:$X159,الإعدادات!$H$6))</f>
        <v/>
      </c>
      <c r="AB159" s="65" t="str">
        <f>IF($B159="","",COUNTIF($C159:$X159,الإعدادات!$H$7))</f>
        <v/>
      </c>
      <c r="AC159" s="65" t="str">
        <f>IF($B159="","",COUNTIF($C159:$X159,الإعدادات!$H$8))</f>
        <v/>
      </c>
      <c r="AD159" s="65" t="str">
        <f>IF($B159="","",COUNTIF($C159:$X159,الإعدادات!$H$9))</f>
        <v/>
      </c>
      <c r="AE159" s="65" t="str">
        <f>IF($B159="","",COUNTIF($C159:$X159,الإعدادات!$H$10))</f>
        <v/>
      </c>
      <c r="AF159" s="66" t="str">
        <f t="shared" si="3"/>
        <v/>
      </c>
      <c r="AG159" s="42"/>
    </row>
    <row r="160" spans="1:33">
      <c r="A160" s="11" t="str">
        <f>IF(OR($B$24="",$C$24="لا"),"",$A$24)</f>
        <v/>
      </c>
      <c r="B160" t="str">
        <f>IF(OR($B$24="",$C$24="لا"),"",$B$24)</f>
        <v/>
      </c>
      <c r="Y160" s="65" t="str">
        <f>IF($B160="","",COUNTIF($C160:$X160,الإعدادات!$H$4))</f>
        <v/>
      </c>
      <c r="Z160" s="65" t="str">
        <f>IF($B160="","",COUNTIF($C160:$X160,الإعدادات!$H$5))</f>
        <v/>
      </c>
      <c r="AA160" s="65" t="str">
        <f>IF($B160="","",COUNTIF($C160:$X160,الإعدادات!$H$6))</f>
        <v/>
      </c>
      <c r="AB160" s="65" t="str">
        <f>IF($B160="","",COUNTIF($C160:$X160,الإعدادات!$H$7))</f>
        <v/>
      </c>
      <c r="AC160" s="65" t="str">
        <f>IF($B160="","",COUNTIF($C160:$X160,الإعدادات!$H$8))</f>
        <v/>
      </c>
      <c r="AD160" s="65" t="str">
        <f>IF($B160="","",COUNTIF($C160:$X160,الإعدادات!$H$9))</f>
        <v/>
      </c>
      <c r="AE160" s="65" t="str">
        <f>IF($B160="","",COUNTIF($C160:$X160,الإعدادات!$H$10))</f>
        <v/>
      </c>
      <c r="AF160" s="66" t="str">
        <f t="shared" si="3"/>
        <v/>
      </c>
      <c r="AG160" s="42"/>
    </row>
    <row r="161" spans="1:33">
      <c r="A161" s="11" t="str">
        <f>IF(OR($B$25="",$C$25="لا"),"",$A$25)</f>
        <v/>
      </c>
      <c r="B161" t="str">
        <f>IF(OR($B$25="",$C$25="لا"),"",$B$25)</f>
        <v/>
      </c>
      <c r="Y161" s="65" t="str">
        <f>IF($B161="","",COUNTIF($C161:$X161,الإعدادات!$H$4))</f>
        <v/>
      </c>
      <c r="Z161" s="65" t="str">
        <f>IF($B161="","",COUNTIF($C161:$X161,الإعدادات!$H$5))</f>
        <v/>
      </c>
      <c r="AA161" s="65" t="str">
        <f>IF($B161="","",COUNTIF($C161:$X161,الإعدادات!$H$6))</f>
        <v/>
      </c>
      <c r="AB161" s="65" t="str">
        <f>IF($B161="","",COUNTIF($C161:$X161,الإعدادات!$H$7))</f>
        <v/>
      </c>
      <c r="AC161" s="65" t="str">
        <f>IF($B161="","",COUNTIF($C161:$X161,الإعدادات!$H$8))</f>
        <v/>
      </c>
      <c r="AD161" s="65" t="str">
        <f>IF($B161="","",COUNTIF($C161:$X161,الإعدادات!$H$9))</f>
        <v/>
      </c>
      <c r="AE161" s="65" t="str">
        <f>IF($B161="","",COUNTIF($C161:$X161,الإعدادات!$H$10))</f>
        <v/>
      </c>
      <c r="AF161" s="66" t="str">
        <f t="shared" si="3"/>
        <v/>
      </c>
      <c r="AG161" s="42"/>
    </row>
    <row r="162" spans="1:33">
      <c r="A162" s="11" t="str">
        <f>IF(OR($B$26="",$C$26="لا"),"",$A$26)</f>
        <v/>
      </c>
      <c r="B162" t="str">
        <f>IF(OR($B$26="",$C$26="لا"),"",$B$26)</f>
        <v/>
      </c>
      <c r="Y162" s="65" t="str">
        <f>IF($B162="","",COUNTIF($C162:$X162,الإعدادات!$H$4))</f>
        <v/>
      </c>
      <c r="Z162" s="65" t="str">
        <f>IF($B162="","",COUNTIF($C162:$X162,الإعدادات!$H$5))</f>
        <v/>
      </c>
      <c r="AA162" s="65" t="str">
        <f>IF($B162="","",COUNTIF($C162:$X162,الإعدادات!$H$6))</f>
        <v/>
      </c>
      <c r="AB162" s="65" t="str">
        <f>IF($B162="","",COUNTIF($C162:$X162,الإعدادات!$H$7))</f>
        <v/>
      </c>
      <c r="AC162" s="65" t="str">
        <f>IF($B162="","",COUNTIF($C162:$X162,الإعدادات!$H$8))</f>
        <v/>
      </c>
      <c r="AD162" s="65" t="str">
        <f>IF($B162="","",COUNTIF($C162:$X162,الإعدادات!$H$9))</f>
        <v/>
      </c>
      <c r="AE162" s="65" t="str">
        <f>IF($B162="","",COUNTIF($C162:$X162,الإعدادات!$H$10))</f>
        <v/>
      </c>
      <c r="AF162" s="66" t="str">
        <f t="shared" si="3"/>
        <v/>
      </c>
      <c r="AG162" s="42"/>
    </row>
    <row r="163" spans="1:33">
      <c r="A163" s="11" t="str">
        <f>IF(OR($B$27="",$C$27="لا"),"",$A$27)</f>
        <v/>
      </c>
      <c r="B163" t="str">
        <f>IF(OR($B$27="",$C$27="لا"),"",$B$27)</f>
        <v/>
      </c>
      <c r="Y163" s="65" t="str">
        <f>IF($B163="","",COUNTIF($C163:$X163,الإعدادات!$H$4))</f>
        <v/>
      </c>
      <c r="Z163" s="65" t="str">
        <f>IF($B163="","",COUNTIF($C163:$X163,الإعدادات!$H$5))</f>
        <v/>
      </c>
      <c r="AA163" s="65" t="str">
        <f>IF($B163="","",COUNTIF($C163:$X163,الإعدادات!$H$6))</f>
        <v/>
      </c>
      <c r="AB163" s="65" t="str">
        <f>IF($B163="","",COUNTIF($C163:$X163,الإعدادات!$H$7))</f>
        <v/>
      </c>
      <c r="AC163" s="65" t="str">
        <f>IF($B163="","",COUNTIF($C163:$X163,الإعدادات!$H$8))</f>
        <v/>
      </c>
      <c r="AD163" s="65" t="str">
        <f>IF($B163="","",COUNTIF($C163:$X163,الإعدادات!$H$9))</f>
        <v/>
      </c>
      <c r="AE163" s="65" t="str">
        <f>IF($B163="","",COUNTIF($C163:$X163,الإعدادات!$H$10))</f>
        <v/>
      </c>
      <c r="AF163" s="66" t="str">
        <f t="shared" si="3"/>
        <v/>
      </c>
      <c r="AG163" s="42"/>
    </row>
    <row r="164" spans="1:33">
      <c r="A164" s="11" t="str">
        <f>IF(OR($B$28="",$C$28="لا"),"",$A$28)</f>
        <v/>
      </c>
      <c r="B164" t="str">
        <f>IF(OR($B$28="",$C$28="لا"),"",$B$28)</f>
        <v/>
      </c>
      <c r="Y164" s="65" t="str">
        <f>IF($B164="","",COUNTIF($C164:$X164,الإعدادات!$H$4))</f>
        <v/>
      </c>
      <c r="Z164" s="65" t="str">
        <f>IF($B164="","",COUNTIF($C164:$X164,الإعدادات!$H$5))</f>
        <v/>
      </c>
      <c r="AA164" s="65" t="str">
        <f>IF($B164="","",COUNTIF($C164:$X164,الإعدادات!$H$6))</f>
        <v/>
      </c>
      <c r="AB164" s="65" t="str">
        <f>IF($B164="","",COUNTIF($C164:$X164,الإعدادات!$H$7))</f>
        <v/>
      </c>
      <c r="AC164" s="65" t="str">
        <f>IF($B164="","",COUNTIF($C164:$X164,الإعدادات!$H$8))</f>
        <v/>
      </c>
      <c r="AD164" s="65" t="str">
        <f>IF($B164="","",COUNTIF($C164:$X164,الإعدادات!$H$9))</f>
        <v/>
      </c>
      <c r="AE164" s="65" t="str">
        <f>IF($B164="","",COUNTIF($C164:$X164,الإعدادات!$H$10))</f>
        <v/>
      </c>
      <c r="AF164" s="66" t="str">
        <f t="shared" si="3"/>
        <v/>
      </c>
      <c r="AG164" s="42"/>
    </row>
    <row r="165" spans="1:33">
      <c r="A165" s="11" t="str">
        <f>IF(OR($B$29="",$C$29="لا"),"",$A$29)</f>
        <v/>
      </c>
      <c r="B165" t="str">
        <f>IF(OR($B$29="",$C$29="لا"),"",$B$29)</f>
        <v/>
      </c>
      <c r="Y165" s="65" t="str">
        <f>IF($B165="","",COUNTIF($C165:$X165,الإعدادات!$H$4))</f>
        <v/>
      </c>
      <c r="Z165" s="65" t="str">
        <f>IF($B165="","",COUNTIF($C165:$X165,الإعدادات!$H$5))</f>
        <v/>
      </c>
      <c r="AA165" s="65" t="str">
        <f>IF($B165="","",COUNTIF($C165:$X165,الإعدادات!$H$6))</f>
        <v/>
      </c>
      <c r="AB165" s="65" t="str">
        <f>IF($B165="","",COUNTIF($C165:$X165,الإعدادات!$H$7))</f>
        <v/>
      </c>
      <c r="AC165" s="65" t="str">
        <f>IF($B165="","",COUNTIF($C165:$X165,الإعدادات!$H$8))</f>
        <v/>
      </c>
      <c r="AD165" s="65" t="str">
        <f>IF($B165="","",COUNTIF($C165:$X165,الإعدادات!$H$9))</f>
        <v/>
      </c>
      <c r="AE165" s="65" t="str">
        <f>IF($B165="","",COUNTIF($C165:$X165,الإعدادات!$H$10))</f>
        <v/>
      </c>
      <c r="AF165" s="66" t="str">
        <f t="shared" si="3"/>
        <v/>
      </c>
      <c r="AG165" s="42"/>
    </row>
    <row r="166" spans="1:33">
      <c r="A166" s="11" t="str">
        <f>IF(OR($B$30="",$C$30="لا"),"",$A$30)</f>
        <v/>
      </c>
      <c r="B166" t="str">
        <f>IF(OR($B$30="",$C$30="لا"),"",$B$30)</f>
        <v/>
      </c>
      <c r="Y166" s="65" t="str">
        <f>IF($B166="","",COUNTIF($C166:$X166,الإعدادات!$H$4))</f>
        <v/>
      </c>
      <c r="Z166" s="65" t="str">
        <f>IF($B166="","",COUNTIF($C166:$X166,الإعدادات!$H$5))</f>
        <v/>
      </c>
      <c r="AA166" s="65" t="str">
        <f>IF($B166="","",COUNTIF($C166:$X166,الإعدادات!$H$6))</f>
        <v/>
      </c>
      <c r="AB166" s="65" t="str">
        <f>IF($B166="","",COUNTIF($C166:$X166,الإعدادات!$H$7))</f>
        <v/>
      </c>
      <c r="AC166" s="65" t="str">
        <f>IF($B166="","",COUNTIF($C166:$X166,الإعدادات!$H$8))</f>
        <v/>
      </c>
      <c r="AD166" s="65" t="str">
        <f>IF($B166="","",COUNTIF($C166:$X166,الإعدادات!$H$9))</f>
        <v/>
      </c>
      <c r="AE166" s="65" t="str">
        <f>IF($B166="","",COUNTIF($C166:$X166,الإعدادات!$H$10))</f>
        <v/>
      </c>
      <c r="AF166" s="66" t="str">
        <f t="shared" si="3"/>
        <v/>
      </c>
      <c r="AG166" s="42"/>
    </row>
    <row r="167" spans="1:33">
      <c r="A167" s="11" t="str">
        <f>IF(OR($B$31="",$C$31="لا"),"",$A$31)</f>
        <v/>
      </c>
      <c r="B167" t="str">
        <f>IF(OR($B$31="",$C$31="لا"),"",$B$31)</f>
        <v/>
      </c>
      <c r="Y167" s="65" t="str">
        <f>IF($B167="","",COUNTIF($C167:$X167,الإعدادات!$H$4))</f>
        <v/>
      </c>
      <c r="Z167" s="65" t="str">
        <f>IF($B167="","",COUNTIF($C167:$X167,الإعدادات!$H$5))</f>
        <v/>
      </c>
      <c r="AA167" s="65" t="str">
        <f>IF($B167="","",COUNTIF($C167:$X167,الإعدادات!$H$6))</f>
        <v/>
      </c>
      <c r="AB167" s="65" t="str">
        <f>IF($B167="","",COUNTIF($C167:$X167,الإعدادات!$H$7))</f>
        <v/>
      </c>
      <c r="AC167" s="65" t="str">
        <f>IF($B167="","",COUNTIF($C167:$X167,الإعدادات!$H$8))</f>
        <v/>
      </c>
      <c r="AD167" s="65" t="str">
        <f>IF($B167="","",COUNTIF($C167:$X167,الإعدادات!$H$9))</f>
        <v/>
      </c>
      <c r="AE167" s="65" t="str">
        <f>IF($B167="","",COUNTIF($C167:$X167,الإعدادات!$H$10))</f>
        <v/>
      </c>
      <c r="AF167" s="66" t="str">
        <f t="shared" si="3"/>
        <v/>
      </c>
      <c r="AG167" s="42"/>
    </row>
    <row r="168" spans="1:33">
      <c r="A168" s="11" t="str">
        <f>IF(OR($B$32="",$C$32="لا"),"",$A$32)</f>
        <v/>
      </c>
      <c r="B168" t="str">
        <f>IF(OR($B$32="",$C$32="لا"),"",$B$32)</f>
        <v/>
      </c>
      <c r="Y168" s="65" t="str">
        <f>IF($B168="","",COUNTIF($C168:$X168,الإعدادات!$H$4))</f>
        <v/>
      </c>
      <c r="Z168" s="65" t="str">
        <f>IF($B168="","",COUNTIF($C168:$X168,الإعدادات!$H$5))</f>
        <v/>
      </c>
      <c r="AA168" s="65" t="str">
        <f>IF($B168="","",COUNTIF($C168:$X168,الإعدادات!$H$6))</f>
        <v/>
      </c>
      <c r="AB168" s="65" t="str">
        <f>IF($B168="","",COUNTIF($C168:$X168,الإعدادات!$H$7))</f>
        <v/>
      </c>
      <c r="AC168" s="65" t="str">
        <f>IF($B168="","",COUNTIF($C168:$X168,الإعدادات!$H$8))</f>
        <v/>
      </c>
      <c r="AD168" s="65" t="str">
        <f>IF($B168="","",COUNTIF($C168:$X168,الإعدادات!$H$9))</f>
        <v/>
      </c>
      <c r="AE168" s="65" t="str">
        <f>IF($B168="","",COUNTIF($C168:$X168,الإعدادات!$H$10))</f>
        <v/>
      </c>
      <c r="AF168" s="66" t="str">
        <f t="shared" si="3"/>
        <v/>
      </c>
      <c r="AG168" s="42"/>
    </row>
    <row r="169" spans="1:33">
      <c r="A169" s="11" t="str">
        <f>IF(OR($B$33="",$C$33="لا"),"",$A$33)</f>
        <v/>
      </c>
      <c r="B169" t="str">
        <f>IF(OR($B$33="",$C$33="لا"),"",$B$33)</f>
        <v/>
      </c>
      <c r="Y169" s="65" t="str">
        <f>IF($B169="","",COUNTIF($C169:$X169,الإعدادات!$H$4))</f>
        <v/>
      </c>
      <c r="Z169" s="65" t="str">
        <f>IF($B169="","",COUNTIF($C169:$X169,الإعدادات!$H$5))</f>
        <v/>
      </c>
      <c r="AA169" s="65" t="str">
        <f>IF($B169="","",COUNTIF($C169:$X169,الإعدادات!$H$6))</f>
        <v/>
      </c>
      <c r="AB169" s="65" t="str">
        <f>IF($B169="","",COUNTIF($C169:$X169,الإعدادات!$H$7))</f>
        <v/>
      </c>
      <c r="AC169" s="65" t="str">
        <f>IF($B169="","",COUNTIF($C169:$X169,الإعدادات!$H$8))</f>
        <v/>
      </c>
      <c r="AD169" s="65" t="str">
        <f>IF($B169="","",COUNTIF($C169:$X169,الإعدادات!$H$9))</f>
        <v/>
      </c>
      <c r="AE169" s="65" t="str">
        <f>IF($B169="","",COUNTIF($C169:$X169,الإعدادات!$H$10))</f>
        <v/>
      </c>
      <c r="AF169" s="66" t="str">
        <f t="shared" si="3"/>
        <v/>
      </c>
      <c r="AG169" s="42"/>
    </row>
    <row r="170" spans="1:33">
      <c r="A170" s="11" t="str">
        <f>IF(OR($B$34="",$C$34="لا"),"",$A$34)</f>
        <v/>
      </c>
      <c r="B170" t="str">
        <f>IF(OR($B$34="",$C$34="لا"),"",$B$34)</f>
        <v/>
      </c>
      <c r="Y170" s="65" t="str">
        <f>IF($B170="","",COUNTIF($C170:$X170,الإعدادات!$H$4))</f>
        <v/>
      </c>
      <c r="Z170" s="65" t="str">
        <f>IF($B170="","",COUNTIF($C170:$X170,الإعدادات!$H$5))</f>
        <v/>
      </c>
      <c r="AA170" s="65" t="str">
        <f>IF($B170="","",COUNTIF($C170:$X170,الإعدادات!$H$6))</f>
        <v/>
      </c>
      <c r="AB170" s="65" t="str">
        <f>IF($B170="","",COUNTIF($C170:$X170,الإعدادات!$H$7))</f>
        <v/>
      </c>
      <c r="AC170" s="65" t="str">
        <f>IF($B170="","",COUNTIF($C170:$X170,الإعدادات!$H$8))</f>
        <v/>
      </c>
      <c r="AD170" s="65" t="str">
        <f>IF($B170="","",COUNTIF($C170:$X170,الإعدادات!$H$9))</f>
        <v/>
      </c>
      <c r="AE170" s="65" t="str">
        <f>IF($B170="","",COUNTIF($C170:$X170,الإعدادات!$H$10))</f>
        <v/>
      </c>
      <c r="AF170" s="66" t="str">
        <f t="shared" si="3"/>
        <v/>
      </c>
      <c r="AG170" s="42"/>
    </row>
    <row r="171" spans="1:33">
      <c r="A171" s="11" t="str">
        <f>IF(OR($B$35="",$C$35="لا"),"",$A$35)</f>
        <v/>
      </c>
      <c r="B171" t="str">
        <f>IF(OR($B$35="",$C$35="لا"),"",$B$35)</f>
        <v/>
      </c>
      <c r="Y171" s="65" t="str">
        <f>IF($B171="","",COUNTIF($C171:$X171,الإعدادات!$H$4))</f>
        <v/>
      </c>
      <c r="Z171" s="65" t="str">
        <f>IF($B171="","",COUNTIF($C171:$X171,الإعدادات!$H$5))</f>
        <v/>
      </c>
      <c r="AA171" s="65" t="str">
        <f>IF($B171="","",COUNTIF($C171:$X171,الإعدادات!$H$6))</f>
        <v/>
      </c>
      <c r="AB171" s="65" t="str">
        <f>IF($B171="","",COUNTIF($C171:$X171,الإعدادات!$H$7))</f>
        <v/>
      </c>
      <c r="AC171" s="65" t="str">
        <f>IF($B171="","",COUNTIF($C171:$X171,الإعدادات!$H$8))</f>
        <v/>
      </c>
      <c r="AD171" s="65" t="str">
        <f>IF($B171="","",COUNTIF($C171:$X171,الإعدادات!$H$9))</f>
        <v/>
      </c>
      <c r="AE171" s="65" t="str">
        <f>IF($B171="","",COUNTIF($C171:$X171,الإعدادات!$H$10))</f>
        <v/>
      </c>
      <c r="AF171" s="66" t="str">
        <f t="shared" si="3"/>
        <v/>
      </c>
      <c r="AG171" s="42"/>
    </row>
    <row r="172" spans="1:33">
      <c r="A172" s="11" t="str">
        <f>IF(OR($B$36="",$C$36="لا"),"",$A$36)</f>
        <v/>
      </c>
      <c r="B172" t="str">
        <f>IF(OR($B$36="",$C$36="لا"),"",$B$36)</f>
        <v/>
      </c>
      <c r="Y172" s="65" t="str">
        <f>IF($B172="","",COUNTIF($C172:$X172,الإعدادات!$H$4))</f>
        <v/>
      </c>
      <c r="Z172" s="65" t="str">
        <f>IF($B172="","",COUNTIF($C172:$X172,الإعدادات!$H$5))</f>
        <v/>
      </c>
      <c r="AA172" s="65" t="str">
        <f>IF($B172="","",COUNTIF($C172:$X172,الإعدادات!$H$6))</f>
        <v/>
      </c>
      <c r="AB172" s="65" t="str">
        <f>IF($B172="","",COUNTIF($C172:$X172,الإعدادات!$H$7))</f>
        <v/>
      </c>
      <c r="AC172" s="65" t="str">
        <f>IF($B172="","",COUNTIF($C172:$X172,الإعدادات!$H$8))</f>
        <v/>
      </c>
      <c r="AD172" s="65" t="str">
        <f>IF($B172="","",COUNTIF($C172:$X172,الإعدادات!$H$9))</f>
        <v/>
      </c>
      <c r="AE172" s="65" t="str">
        <f>IF($B172="","",COUNTIF($C172:$X172,الإعدادات!$H$10))</f>
        <v/>
      </c>
      <c r="AF172" s="66" t="str">
        <f t="shared" si="3"/>
        <v/>
      </c>
      <c r="AG172" s="42"/>
    </row>
    <row r="173" spans="1:33">
      <c r="A173" s="11" t="str">
        <f>IF(OR($B$37="",$C$37="لا"),"",$A$37)</f>
        <v/>
      </c>
      <c r="B173" t="str">
        <f>IF(OR($B$37="",$C$37="لا"),"",$B$37)</f>
        <v/>
      </c>
      <c r="Y173" s="65" t="str">
        <f>IF($B173="","",COUNTIF($C173:$X173,الإعدادات!$H$4))</f>
        <v/>
      </c>
      <c r="Z173" s="65" t="str">
        <f>IF($B173="","",COUNTIF($C173:$X173,الإعدادات!$H$5))</f>
        <v/>
      </c>
      <c r="AA173" s="65" t="str">
        <f>IF($B173="","",COUNTIF($C173:$X173,الإعدادات!$H$6))</f>
        <v/>
      </c>
      <c r="AB173" s="65" t="str">
        <f>IF($B173="","",COUNTIF($C173:$X173,الإعدادات!$H$7))</f>
        <v/>
      </c>
      <c r="AC173" s="65" t="str">
        <f>IF($B173="","",COUNTIF($C173:$X173,الإعدادات!$H$8))</f>
        <v/>
      </c>
      <c r="AD173" s="65" t="str">
        <f>IF($B173="","",COUNTIF($C173:$X173,الإعدادات!$H$9))</f>
        <v/>
      </c>
      <c r="AE173" s="65" t="str">
        <f>IF($B173="","",COUNTIF($C173:$X173,الإعدادات!$H$10))</f>
        <v/>
      </c>
      <c r="AF173" s="66" t="str">
        <f t="shared" si="3"/>
        <v/>
      </c>
      <c r="AG173" s="42"/>
    </row>
    <row r="174" spans="1:33">
      <c r="A174" s="11" t="str">
        <f>IF(OR($B$38="",$C$38="لا"),"",$A$38)</f>
        <v/>
      </c>
      <c r="B174" t="str">
        <f>IF(OR($B$38="",$C$38="لا"),"",$B$38)</f>
        <v/>
      </c>
      <c r="Y174" s="65" t="str">
        <f>IF($B174="","",COUNTIF($C174:$X174,الإعدادات!$H$4))</f>
        <v/>
      </c>
      <c r="Z174" s="65" t="str">
        <f>IF($B174="","",COUNTIF($C174:$X174,الإعدادات!$H$5))</f>
        <v/>
      </c>
      <c r="AA174" s="65" t="str">
        <f>IF($B174="","",COUNTIF($C174:$X174,الإعدادات!$H$6))</f>
        <v/>
      </c>
      <c r="AB174" s="65" t="str">
        <f>IF($B174="","",COUNTIF($C174:$X174,الإعدادات!$H$7))</f>
        <v/>
      </c>
      <c r="AC174" s="65" t="str">
        <f>IF($B174="","",COUNTIF($C174:$X174,الإعدادات!$H$8))</f>
        <v/>
      </c>
      <c r="AD174" s="65" t="str">
        <f>IF($B174="","",COUNTIF($C174:$X174,الإعدادات!$H$9))</f>
        <v/>
      </c>
      <c r="AE174" s="65" t="str">
        <f>IF($B174="","",COUNTIF($C174:$X174,الإعدادات!$H$10))</f>
        <v/>
      </c>
      <c r="AF174" s="66" t="str">
        <f t="shared" si="3"/>
        <v/>
      </c>
      <c r="AG174" s="42"/>
    </row>
    <row r="175" spans="1:33">
      <c r="A175" s="11" t="str">
        <f>IF(OR($B$39="",$C$39="لا"),"",$A$39)</f>
        <v/>
      </c>
      <c r="B175" t="str">
        <f>IF(OR($B$39="",$C$39="لا"),"",$B$39)</f>
        <v/>
      </c>
      <c r="Y175" s="65" t="str">
        <f>IF($B175="","",COUNTIF($C175:$X175,الإعدادات!$H$4))</f>
        <v/>
      </c>
      <c r="Z175" s="65" t="str">
        <f>IF($B175="","",COUNTIF($C175:$X175,الإعدادات!$H$5))</f>
        <v/>
      </c>
      <c r="AA175" s="65" t="str">
        <f>IF($B175="","",COUNTIF($C175:$X175,الإعدادات!$H$6))</f>
        <v/>
      </c>
      <c r="AB175" s="65" t="str">
        <f>IF($B175="","",COUNTIF($C175:$X175,الإعدادات!$H$7))</f>
        <v/>
      </c>
      <c r="AC175" s="65" t="str">
        <f>IF($B175="","",COUNTIF($C175:$X175,الإعدادات!$H$8))</f>
        <v/>
      </c>
      <c r="AD175" s="65" t="str">
        <f>IF($B175="","",COUNTIF($C175:$X175,الإعدادات!$H$9))</f>
        <v/>
      </c>
      <c r="AE175" s="65" t="str">
        <f>IF($B175="","",COUNTIF($C175:$X175,الإعدادات!$H$10))</f>
        <v/>
      </c>
      <c r="AF175" s="66" t="str">
        <f t="shared" si="3"/>
        <v/>
      </c>
      <c r="AG175" s="42"/>
    </row>
    <row r="176" spans="1:33">
      <c r="A176" s="11" t="str">
        <f>IF(OR($B$40="",$C$40="لا"),"",$A$40)</f>
        <v/>
      </c>
      <c r="B176" t="str">
        <f>IF(OR($B$40="",$C$40="لا"),"",$B$40)</f>
        <v/>
      </c>
      <c r="Y176" s="65" t="str">
        <f>IF($B176="","",COUNTIF($C176:$X176,الإعدادات!$H$4))</f>
        <v/>
      </c>
      <c r="Z176" s="65" t="str">
        <f>IF($B176="","",COUNTIF($C176:$X176,الإعدادات!$H$5))</f>
        <v/>
      </c>
      <c r="AA176" s="65" t="str">
        <f>IF($B176="","",COUNTIF($C176:$X176,الإعدادات!$H$6))</f>
        <v/>
      </c>
      <c r="AB176" s="65" t="str">
        <f>IF($B176="","",COUNTIF($C176:$X176,الإعدادات!$H$7))</f>
        <v/>
      </c>
      <c r="AC176" s="65" t="str">
        <f>IF($B176="","",COUNTIF($C176:$X176,الإعدادات!$H$8))</f>
        <v/>
      </c>
      <c r="AD176" s="65" t="str">
        <f>IF($B176="","",COUNTIF($C176:$X176,الإعدادات!$H$9))</f>
        <v/>
      </c>
      <c r="AE176" s="65" t="str">
        <f>IF($B176="","",COUNTIF($C176:$X176,الإعدادات!$H$10))</f>
        <v/>
      </c>
      <c r="AF176" s="66" t="str">
        <f t="shared" si="3"/>
        <v/>
      </c>
      <c r="AG176" s="42"/>
    </row>
    <row r="177" spans="1:33">
      <c r="A177" s="11" t="str">
        <f>IF(OR($B$41="",$C$41="لا"),"",$A$41)</f>
        <v/>
      </c>
      <c r="B177" t="str">
        <f>IF(OR($B$41="",$C$41="لا"),"",$B$41)</f>
        <v/>
      </c>
      <c r="Y177" s="65" t="str">
        <f>IF($B177="","",COUNTIF($C177:$X177,الإعدادات!$H$4))</f>
        <v/>
      </c>
      <c r="Z177" s="65" t="str">
        <f>IF($B177="","",COUNTIF($C177:$X177,الإعدادات!$H$5))</f>
        <v/>
      </c>
      <c r="AA177" s="65" t="str">
        <f>IF($B177="","",COUNTIF($C177:$X177,الإعدادات!$H$6))</f>
        <v/>
      </c>
      <c r="AB177" s="65" t="str">
        <f>IF($B177="","",COUNTIF($C177:$X177,الإعدادات!$H$7))</f>
        <v/>
      </c>
      <c r="AC177" s="65" t="str">
        <f>IF($B177="","",COUNTIF($C177:$X177,الإعدادات!$H$8))</f>
        <v/>
      </c>
      <c r="AD177" s="65" t="str">
        <f>IF($B177="","",COUNTIF($C177:$X177,الإعدادات!$H$9))</f>
        <v/>
      </c>
      <c r="AE177" s="65" t="str">
        <f>IF($B177="","",COUNTIF($C177:$X177,الإعدادات!$H$10))</f>
        <v/>
      </c>
      <c r="AF177" s="66" t="str">
        <f t="shared" si="3"/>
        <v/>
      </c>
      <c r="AG177" s="42"/>
    </row>
    <row r="178" spans="1:33">
      <c r="A178" s="11" t="str">
        <f>IF(OR($B$42="",$C$42="لا"),"",$A$42)</f>
        <v/>
      </c>
      <c r="B178" t="str">
        <f>IF(OR($B$42="",$C$42="لا"),"",$B$42)</f>
        <v/>
      </c>
      <c r="Y178" s="65" t="str">
        <f>IF($B178="","",COUNTIF($C178:$X178,الإعدادات!$H$4))</f>
        <v/>
      </c>
      <c r="Z178" s="65" t="str">
        <f>IF($B178="","",COUNTIF($C178:$X178,الإعدادات!$H$5))</f>
        <v/>
      </c>
      <c r="AA178" s="65" t="str">
        <f>IF($B178="","",COUNTIF($C178:$X178,الإعدادات!$H$6))</f>
        <v/>
      </c>
      <c r="AB178" s="65" t="str">
        <f>IF($B178="","",COUNTIF($C178:$X178,الإعدادات!$H$7))</f>
        <v/>
      </c>
      <c r="AC178" s="65" t="str">
        <f>IF($B178="","",COUNTIF($C178:$X178,الإعدادات!$H$8))</f>
        <v/>
      </c>
      <c r="AD178" s="65" t="str">
        <f>IF($B178="","",COUNTIF($C178:$X178,الإعدادات!$H$9))</f>
        <v/>
      </c>
      <c r="AE178" s="65" t="str">
        <f>IF($B178="","",COUNTIF($C178:$X178,الإعدادات!$H$10))</f>
        <v/>
      </c>
      <c r="AF178" s="66" t="str">
        <f t="shared" si="3"/>
        <v/>
      </c>
      <c r="AG178" s="42"/>
    </row>
    <row r="179" spans="1:33">
      <c r="A179" s="11" t="str">
        <f>IF(OR($B$43="",$C$43="لا"),"",$A$43)</f>
        <v/>
      </c>
      <c r="B179" t="str">
        <f>IF(OR($B$43="",$C$43="لا"),"",$B$43)</f>
        <v/>
      </c>
      <c r="Y179" s="65" t="str">
        <f>IF($B179="","",COUNTIF($C179:$X179,الإعدادات!$H$4))</f>
        <v/>
      </c>
      <c r="Z179" s="65" t="str">
        <f>IF($B179="","",COUNTIF($C179:$X179,الإعدادات!$H$5))</f>
        <v/>
      </c>
      <c r="AA179" s="65" t="str">
        <f>IF($B179="","",COUNTIF($C179:$X179,الإعدادات!$H$6))</f>
        <v/>
      </c>
      <c r="AB179" s="65" t="str">
        <f>IF($B179="","",COUNTIF($C179:$X179,الإعدادات!$H$7))</f>
        <v/>
      </c>
      <c r="AC179" s="65" t="str">
        <f>IF($B179="","",COUNTIF($C179:$X179,الإعدادات!$H$8))</f>
        <v/>
      </c>
      <c r="AD179" s="65" t="str">
        <f>IF($B179="","",COUNTIF($C179:$X179,الإعدادات!$H$9))</f>
        <v/>
      </c>
      <c r="AE179" s="65" t="str">
        <f>IF($B179="","",COUNTIF($C179:$X179,الإعدادات!$H$10))</f>
        <v/>
      </c>
      <c r="AF179" s="66" t="str">
        <f t="shared" si="3"/>
        <v/>
      </c>
      <c r="AG179" s="42"/>
    </row>
    <row r="180" spans="1:33">
      <c r="A180" s="11" t="str">
        <f>IF(OR($B$44="",$C$44="لا"),"",$A$44)</f>
        <v/>
      </c>
      <c r="B180" t="str">
        <f>IF(OR($B$44="",$C$44="لا"),"",$B$44)</f>
        <v/>
      </c>
      <c r="Y180" s="65" t="str">
        <f>IF($B180="","",COUNTIF($C180:$X180,الإعدادات!$H$4))</f>
        <v/>
      </c>
      <c r="Z180" s="65" t="str">
        <f>IF($B180="","",COUNTIF($C180:$X180,الإعدادات!$H$5))</f>
        <v/>
      </c>
      <c r="AA180" s="65" t="str">
        <f>IF($B180="","",COUNTIF($C180:$X180,الإعدادات!$H$6))</f>
        <v/>
      </c>
      <c r="AB180" s="65" t="str">
        <f>IF($B180="","",COUNTIF($C180:$X180,الإعدادات!$H$7))</f>
        <v/>
      </c>
      <c r="AC180" s="65" t="str">
        <f>IF($B180="","",COUNTIF($C180:$X180,الإعدادات!$H$8))</f>
        <v/>
      </c>
      <c r="AD180" s="65" t="str">
        <f>IF($B180="","",COUNTIF($C180:$X180,الإعدادات!$H$9))</f>
        <v/>
      </c>
      <c r="AE180" s="65" t="str">
        <f>IF($B180="","",COUNTIF($C180:$X180,الإعدادات!$H$10))</f>
        <v/>
      </c>
      <c r="AF180" s="66" t="str">
        <f t="shared" si="3"/>
        <v/>
      </c>
      <c r="AG180" s="42"/>
    </row>
    <row r="181" spans="1:33">
      <c r="A181" s="11" t="str">
        <f>IF(OR($B$45="",$C$45="لا"),"",$A$45)</f>
        <v/>
      </c>
      <c r="B181" t="str">
        <f>IF(OR($B$45="",$C$45="لا"),"",$B$45)</f>
        <v/>
      </c>
      <c r="Y181" s="65" t="str">
        <f>IF($B181="","",COUNTIF($C181:$X181,الإعدادات!$H$4))</f>
        <v/>
      </c>
      <c r="Z181" s="65" t="str">
        <f>IF($B181="","",COUNTIF($C181:$X181,الإعدادات!$H$5))</f>
        <v/>
      </c>
      <c r="AA181" s="65" t="str">
        <f>IF($B181="","",COUNTIF($C181:$X181,الإعدادات!$H$6))</f>
        <v/>
      </c>
      <c r="AB181" s="65" t="str">
        <f>IF($B181="","",COUNTIF($C181:$X181,الإعدادات!$H$7))</f>
        <v/>
      </c>
      <c r="AC181" s="65" t="str">
        <f>IF($B181="","",COUNTIF($C181:$X181,الإعدادات!$H$8))</f>
        <v/>
      </c>
      <c r="AD181" s="65" t="str">
        <f>IF($B181="","",COUNTIF($C181:$X181,الإعدادات!$H$9))</f>
        <v/>
      </c>
      <c r="AE181" s="65" t="str">
        <f>IF($B181="","",COUNTIF($C181:$X181,الإعدادات!$H$10))</f>
        <v/>
      </c>
      <c r="AF181" s="66" t="str">
        <f t="shared" si="3"/>
        <v/>
      </c>
      <c r="AG181" s="42"/>
    </row>
    <row r="182" spans="1:33">
      <c r="A182" s="11" t="str">
        <f>IF(OR($B$46="",$C$46="لا"),"",$A$46)</f>
        <v/>
      </c>
      <c r="B182" t="str">
        <f>IF(OR($B$46="",$C$46="لا"),"",$B$46)</f>
        <v/>
      </c>
      <c r="Y182" s="65" t="str">
        <f>IF($B182="","",COUNTIF($C182:$X182,الإعدادات!$H$4))</f>
        <v/>
      </c>
      <c r="Z182" s="65" t="str">
        <f>IF($B182="","",COUNTIF($C182:$X182,الإعدادات!$H$5))</f>
        <v/>
      </c>
      <c r="AA182" s="65" t="str">
        <f>IF($B182="","",COUNTIF($C182:$X182,الإعدادات!$H$6))</f>
        <v/>
      </c>
      <c r="AB182" s="65" t="str">
        <f>IF($B182="","",COUNTIF($C182:$X182,الإعدادات!$H$7))</f>
        <v/>
      </c>
      <c r="AC182" s="65" t="str">
        <f>IF($B182="","",COUNTIF($C182:$X182,الإعدادات!$H$8))</f>
        <v/>
      </c>
      <c r="AD182" s="65" t="str">
        <f>IF($B182="","",COUNTIF($C182:$X182,الإعدادات!$H$9))</f>
        <v/>
      </c>
      <c r="AE182" s="65" t="str">
        <f>IF($B182="","",COUNTIF($C182:$X182,الإعدادات!$H$10))</f>
        <v/>
      </c>
      <c r="AF182" s="66" t="str">
        <f t="shared" si="3"/>
        <v/>
      </c>
      <c r="AG182" s="42"/>
    </row>
    <row r="183" spans="1:33">
      <c r="A183" s="11" t="str">
        <f>IF(OR($B$47="",$C$47="لا"),"",$A$47)</f>
        <v/>
      </c>
      <c r="B183" t="str">
        <f>IF(OR($B$47="",$C$47="لا"),"",$B$47)</f>
        <v/>
      </c>
      <c r="Y183" s="65" t="str">
        <f>IF($B183="","",COUNTIF($C183:$X183,الإعدادات!$H$4))</f>
        <v/>
      </c>
      <c r="Z183" s="65" t="str">
        <f>IF($B183="","",COUNTIF($C183:$X183,الإعدادات!$H$5))</f>
        <v/>
      </c>
      <c r="AA183" s="65" t="str">
        <f>IF($B183="","",COUNTIF($C183:$X183,الإعدادات!$H$6))</f>
        <v/>
      </c>
      <c r="AB183" s="65" t="str">
        <f>IF($B183="","",COUNTIF($C183:$X183,الإعدادات!$H$7))</f>
        <v/>
      </c>
      <c r="AC183" s="65" t="str">
        <f>IF($B183="","",COUNTIF($C183:$X183,الإعدادات!$H$8))</f>
        <v/>
      </c>
      <c r="AD183" s="65" t="str">
        <f>IF($B183="","",COUNTIF($C183:$X183,الإعدادات!$H$9))</f>
        <v/>
      </c>
      <c r="AE183" s="65" t="str">
        <f>IF($B183="","",COUNTIF($C183:$X183,الإعدادات!$H$10))</f>
        <v/>
      </c>
      <c r="AF183" s="66" t="str">
        <f t="shared" si="3"/>
        <v/>
      </c>
      <c r="AG183" s="42"/>
    </row>
    <row r="184" spans="1:33">
      <c r="A184" s="13" t="str">
        <f>IF(OR($B$48="",$C$48="لا"),"",$A$48)</f>
        <v/>
      </c>
      <c r="B184" s="14" t="str">
        <f>IF(OR($B$48="",$C$48="لا"),"",$B$48)</f>
        <v/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67" t="str">
        <f>IF($B184="","",COUNTIF($C184:$X184,الإعدادات!$H$4))</f>
        <v/>
      </c>
      <c r="Z184" s="67" t="str">
        <f>IF($B184="","",COUNTIF($C184:$X184,الإعدادات!$H$5))</f>
        <v/>
      </c>
      <c r="AA184" s="67" t="str">
        <f>IF($B184="","",COUNTIF($C184:$X184,الإعدادات!$H$6))</f>
        <v/>
      </c>
      <c r="AB184" s="67" t="str">
        <f>IF($B184="","",COUNTIF($C184:$X184,الإعدادات!$H$7))</f>
        <v/>
      </c>
      <c r="AC184" s="67" t="str">
        <f>IF($B184="","",COUNTIF($C184:$X184,الإعدادات!$H$8))</f>
        <v/>
      </c>
      <c r="AD184" s="67" t="str">
        <f>IF($B184="","",COUNTIF($C184:$X184,الإعدادات!$H$9))</f>
        <v/>
      </c>
      <c r="AE184" s="67" t="str">
        <f>IF($B184="","",COUNTIF($C184:$X184,الإعدادات!$H$10))</f>
        <v/>
      </c>
      <c r="AF184" s="68" t="str">
        <f t="shared" si="3"/>
        <v/>
      </c>
      <c r="AG184" s="44"/>
    </row>
    <row r="188" spans="1:33" ht="16.5">
      <c r="A188" s="91" t="s">
        <v>193</v>
      </c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38"/>
      <c r="Y188" s="38"/>
      <c r="Z188" s="38"/>
      <c r="AA188" s="38"/>
      <c r="AB188" s="38"/>
      <c r="AC188" s="38"/>
      <c r="AD188" s="38"/>
      <c r="AE188" s="38"/>
      <c r="AF188" s="27"/>
      <c r="AG188" s="27"/>
    </row>
    <row r="189" spans="1:33">
      <c r="A189" s="92" t="s">
        <v>128</v>
      </c>
      <c r="B189" s="92"/>
      <c r="C189" s="92" t="s">
        <v>129</v>
      </c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 t="s">
        <v>130</v>
      </c>
      <c r="Q189" s="92"/>
      <c r="R189" s="92"/>
      <c r="S189" s="92"/>
      <c r="T189" s="92"/>
      <c r="U189" s="92"/>
      <c r="V189" s="92"/>
      <c r="W189" s="92"/>
      <c r="X189" s="36"/>
      <c r="Y189" s="36"/>
      <c r="Z189" s="36"/>
      <c r="AA189" s="36"/>
      <c r="AB189" s="36"/>
      <c r="AC189" s="36"/>
      <c r="AD189" s="36"/>
      <c r="AE189" s="36"/>
      <c r="AF189" s="22"/>
      <c r="AG189" s="22"/>
    </row>
    <row r="190" spans="1:33" ht="38.1" customHeight="1">
      <c r="A190" s="62" t="s">
        <v>116</v>
      </c>
      <c r="B190" s="62" t="s">
        <v>117</v>
      </c>
      <c r="C190" s="62" t="s">
        <v>194</v>
      </c>
      <c r="D190" s="62" t="s">
        <v>195</v>
      </c>
      <c r="E190" s="62" t="s">
        <v>196</v>
      </c>
      <c r="F190" s="62" t="s">
        <v>197</v>
      </c>
      <c r="G190" s="62" t="s">
        <v>198</v>
      </c>
      <c r="H190" s="62" t="s">
        <v>199</v>
      </c>
      <c r="I190" s="62" t="s">
        <v>200</v>
      </c>
      <c r="J190" s="62" t="s">
        <v>201</v>
      </c>
      <c r="K190" s="62" t="s">
        <v>202</v>
      </c>
      <c r="L190" s="62" t="s">
        <v>203</v>
      </c>
      <c r="M190" s="62" t="s">
        <v>204</v>
      </c>
      <c r="N190" s="62" t="s">
        <v>205</v>
      </c>
      <c r="O190" s="62" t="s">
        <v>206</v>
      </c>
      <c r="P190" s="62" t="str">
        <f>الإعدادات!H4</f>
        <v>كتاب</v>
      </c>
      <c r="Q190" s="62" t="str">
        <f>الإعدادات!H5</f>
        <v>نوم</v>
      </c>
      <c r="R190" s="62" t="str">
        <f>الإعدادات!H6</f>
        <v>سلوك</v>
      </c>
      <c r="S190" s="62" t="str">
        <f>الإعدادات!H7</f>
        <v>غياب</v>
      </c>
      <c r="T190" s="62" t="str">
        <f>الإعدادات!H8</f>
        <v>تأخر</v>
      </c>
      <c r="U190" s="62" t="str">
        <f>الإعدادات!H9</f>
        <v>حل الواجبات</v>
      </c>
      <c r="V190" s="62" t="str">
        <f>الإعدادات!H10</f>
        <v>تميز ★</v>
      </c>
      <c r="W190" s="62" t="s">
        <v>110</v>
      </c>
      <c r="X190" s="37"/>
      <c r="Y190" s="37"/>
      <c r="Z190" s="37"/>
      <c r="AA190" s="37"/>
      <c r="AB190" s="37"/>
      <c r="AC190" s="37"/>
      <c r="AD190" s="37"/>
      <c r="AE190" s="37"/>
      <c r="AF190" s="7"/>
      <c r="AG190" s="7"/>
    </row>
    <row r="191" spans="1:33">
      <c r="A191" s="8" t="str">
        <f>IF(OR($B$9="",$C$9="لا"),"",$A$9)</f>
        <v/>
      </c>
      <c r="B191" s="9" t="str">
        <f>IF(OR($B$9="",$C$9="لا"),"",$B$9)</f>
        <v/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63" t="str">
        <f>IF($B191="","",COUNTIF($C191:$O191,الإعدادات!$H$4))</f>
        <v/>
      </c>
      <c r="Q191" s="63" t="str">
        <f>IF($B191="","",COUNTIF($C191:$O191,الإعدادات!$H$5))</f>
        <v/>
      </c>
      <c r="R191" s="63" t="str">
        <f>IF($B191="","",COUNTIF($C191:$O191,الإعدادات!$H$6))</f>
        <v/>
      </c>
      <c r="S191" s="63" t="str">
        <f>IF($B191="","",COUNTIF($C191:$O191,الإعدادات!$H$7))</f>
        <v/>
      </c>
      <c r="T191" s="63" t="str">
        <f>IF($B191="","",COUNTIF($C191:$O191,الإعدادات!$H$8))</f>
        <v/>
      </c>
      <c r="U191" s="63" t="str">
        <f>IF($B191="","",COUNTIF($C191:$O191,الإعدادات!$H$9))</f>
        <v/>
      </c>
      <c r="V191" s="63" t="str">
        <f>IF($B191="","",COUNTIF($C191:$O191,الإعدادات!$H$10))</f>
        <v/>
      </c>
      <c r="W191" s="64" t="str">
        <f t="shared" ref="W191:W230" si="4">IF($B191="","",SUM(P191:T191))</f>
        <v/>
      </c>
      <c r="X191" s="39"/>
      <c r="Y191" s="39"/>
      <c r="Z191" s="39"/>
      <c r="AA191" s="39"/>
      <c r="AB191" s="39"/>
      <c r="AC191" s="39"/>
      <c r="AD191" s="39"/>
      <c r="AE191" s="40"/>
      <c r="AF191" s="28"/>
      <c r="AG191" s="29"/>
    </row>
    <row r="192" spans="1:33">
      <c r="A192" s="11" t="str">
        <f>IF(OR($B$10="",$C$10="لا"),"",$A$10)</f>
        <v/>
      </c>
      <c r="B192" t="str">
        <f>IF(OR($B$10="",$C$10="لا"),"",$B$10)</f>
        <v/>
      </c>
      <c r="P192" s="65" t="str">
        <f>IF($B192="","",COUNTIF($C192:$O192,الإعدادات!$H$4))</f>
        <v/>
      </c>
      <c r="Q192" s="65" t="str">
        <f>IF($B192="","",COUNTIF($C192:$O192,الإعدادات!$H$5))</f>
        <v/>
      </c>
      <c r="R192" s="65" t="str">
        <f>IF($B192="","",COUNTIF($C192:$O192,الإعدادات!$H$6))</f>
        <v/>
      </c>
      <c r="S192" s="65" t="str">
        <f>IF($B192="","",COUNTIF($C192:$O192,الإعدادات!$H$7))</f>
        <v/>
      </c>
      <c r="T192" s="65" t="str">
        <f>IF($B192="","",COUNTIF($C192:$O192,الإعدادات!$H$8))</f>
        <v/>
      </c>
      <c r="U192" s="65" t="str">
        <f>IF($B192="","",COUNTIF($C192:$O192,الإعدادات!$H$9))</f>
        <v/>
      </c>
      <c r="V192" s="65" t="str">
        <f>IF($B192="","",COUNTIF($C192:$O192,الإعدادات!$H$10))</f>
        <v/>
      </c>
      <c r="W192" s="66" t="str">
        <f t="shared" si="4"/>
        <v/>
      </c>
      <c r="X192" s="41"/>
      <c r="Y192" s="41"/>
      <c r="Z192" s="41"/>
      <c r="AA192" s="41"/>
      <c r="AB192" s="41"/>
      <c r="AC192" s="41"/>
      <c r="AD192" s="41"/>
      <c r="AE192" s="42"/>
      <c r="AF192" s="30"/>
      <c r="AG192" s="31"/>
    </row>
    <row r="193" spans="1:33">
      <c r="A193" s="11" t="str">
        <f>IF(OR($B$11="",$C$11="لا"),"",$A$11)</f>
        <v/>
      </c>
      <c r="B193" t="str">
        <f>IF(OR($B$11="",$C$11="لا"),"",$B$11)</f>
        <v/>
      </c>
      <c r="P193" s="65" t="str">
        <f>IF($B193="","",COUNTIF($C193:$O193,الإعدادات!$H$4))</f>
        <v/>
      </c>
      <c r="Q193" s="65" t="str">
        <f>IF($B193="","",COUNTIF($C193:$O193,الإعدادات!$H$5))</f>
        <v/>
      </c>
      <c r="R193" s="65" t="str">
        <f>IF($B193="","",COUNTIF($C193:$O193,الإعدادات!$H$6))</f>
        <v/>
      </c>
      <c r="S193" s="65" t="str">
        <f>IF($B193="","",COUNTIF($C193:$O193,الإعدادات!$H$7))</f>
        <v/>
      </c>
      <c r="T193" s="65" t="str">
        <f>IF($B193="","",COUNTIF($C193:$O193,الإعدادات!$H$8))</f>
        <v/>
      </c>
      <c r="U193" s="65" t="str">
        <f>IF($B193="","",COUNTIF($C193:$O193,الإعدادات!$H$9))</f>
        <v/>
      </c>
      <c r="V193" s="65" t="str">
        <f>IF($B193="","",COUNTIF($C193:$O193,الإعدادات!$H$10))</f>
        <v/>
      </c>
      <c r="W193" s="66" t="str">
        <f t="shared" si="4"/>
        <v/>
      </c>
      <c r="X193" s="41"/>
      <c r="Y193" s="41"/>
      <c r="Z193" s="41"/>
      <c r="AA193" s="41"/>
      <c r="AB193" s="41"/>
      <c r="AC193" s="41"/>
      <c r="AD193" s="41"/>
      <c r="AE193" s="42"/>
      <c r="AF193" s="30"/>
      <c r="AG193" s="31"/>
    </row>
    <row r="194" spans="1:33">
      <c r="A194" s="11" t="str">
        <f>IF(OR($B$12="",$C$12="لا"),"",$A$12)</f>
        <v/>
      </c>
      <c r="B194" t="str">
        <f>IF(OR($B$12="",$C$12="لا"),"",$B$12)</f>
        <v/>
      </c>
      <c r="P194" s="65" t="str">
        <f>IF($B194="","",COUNTIF($C194:$O194,الإعدادات!$H$4))</f>
        <v/>
      </c>
      <c r="Q194" s="65" t="str">
        <f>IF($B194="","",COUNTIF($C194:$O194,الإعدادات!$H$5))</f>
        <v/>
      </c>
      <c r="R194" s="65" t="str">
        <f>IF($B194="","",COUNTIF($C194:$O194,الإعدادات!$H$6))</f>
        <v/>
      </c>
      <c r="S194" s="65" t="str">
        <f>IF($B194="","",COUNTIF($C194:$O194,الإعدادات!$H$7))</f>
        <v/>
      </c>
      <c r="T194" s="65" t="str">
        <f>IF($B194="","",COUNTIF($C194:$O194,الإعدادات!$H$8))</f>
        <v/>
      </c>
      <c r="U194" s="65" t="str">
        <f>IF($B194="","",COUNTIF($C194:$O194,الإعدادات!$H$9))</f>
        <v/>
      </c>
      <c r="V194" s="65" t="str">
        <f>IF($B194="","",COUNTIF($C194:$O194,الإعدادات!$H$10))</f>
        <v/>
      </c>
      <c r="W194" s="66" t="str">
        <f t="shared" si="4"/>
        <v/>
      </c>
      <c r="X194" s="41"/>
      <c r="Y194" s="41"/>
      <c r="Z194" s="41"/>
      <c r="AA194" s="41"/>
      <c r="AB194" s="41"/>
      <c r="AC194" s="41"/>
      <c r="AD194" s="41"/>
      <c r="AE194" s="42"/>
      <c r="AF194" s="30"/>
      <c r="AG194" s="31"/>
    </row>
    <row r="195" spans="1:33">
      <c r="A195" s="11" t="str">
        <f>IF(OR($B$13="",$C$13="لا"),"",$A$13)</f>
        <v/>
      </c>
      <c r="B195" t="str">
        <f>IF(OR($B$13="",$C$13="لا"),"",$B$13)</f>
        <v/>
      </c>
      <c r="P195" s="65" t="str">
        <f>IF($B195="","",COUNTIF($C195:$O195,الإعدادات!$H$4))</f>
        <v/>
      </c>
      <c r="Q195" s="65" t="str">
        <f>IF($B195="","",COUNTIF($C195:$O195,الإعدادات!$H$5))</f>
        <v/>
      </c>
      <c r="R195" s="65" t="str">
        <f>IF($B195="","",COUNTIF($C195:$O195,الإعدادات!$H$6))</f>
        <v/>
      </c>
      <c r="S195" s="65" t="str">
        <f>IF($B195="","",COUNTIF($C195:$O195,الإعدادات!$H$7))</f>
        <v/>
      </c>
      <c r="T195" s="65" t="str">
        <f>IF($B195="","",COUNTIF($C195:$O195,الإعدادات!$H$8))</f>
        <v/>
      </c>
      <c r="U195" s="65" t="str">
        <f>IF($B195="","",COUNTIF($C195:$O195,الإعدادات!$H$9))</f>
        <v/>
      </c>
      <c r="V195" s="65" t="str">
        <f>IF($B195="","",COUNTIF($C195:$O195,الإعدادات!$H$10))</f>
        <v/>
      </c>
      <c r="W195" s="66" t="str">
        <f t="shared" si="4"/>
        <v/>
      </c>
      <c r="X195" s="41"/>
      <c r="Y195" s="41"/>
      <c r="Z195" s="41"/>
      <c r="AA195" s="41"/>
      <c r="AB195" s="41"/>
      <c r="AC195" s="41"/>
      <c r="AD195" s="41"/>
      <c r="AE195" s="42"/>
      <c r="AF195" s="30"/>
      <c r="AG195" s="31"/>
    </row>
    <row r="196" spans="1:33">
      <c r="A196" s="11" t="str">
        <f>IF(OR($B$14="",$C$14="لا"),"",$A$14)</f>
        <v/>
      </c>
      <c r="B196" t="str">
        <f>IF(OR($B$14="",$C$14="لا"),"",$B$14)</f>
        <v/>
      </c>
      <c r="P196" s="65" t="str">
        <f>IF($B196="","",COUNTIF($C196:$O196,الإعدادات!$H$4))</f>
        <v/>
      </c>
      <c r="Q196" s="65" t="str">
        <f>IF($B196="","",COUNTIF($C196:$O196,الإعدادات!$H$5))</f>
        <v/>
      </c>
      <c r="R196" s="65" t="str">
        <f>IF($B196="","",COUNTIF($C196:$O196,الإعدادات!$H$6))</f>
        <v/>
      </c>
      <c r="S196" s="65" t="str">
        <f>IF($B196="","",COUNTIF($C196:$O196,الإعدادات!$H$7))</f>
        <v/>
      </c>
      <c r="T196" s="65" t="str">
        <f>IF($B196="","",COUNTIF($C196:$O196,الإعدادات!$H$8))</f>
        <v/>
      </c>
      <c r="U196" s="65" t="str">
        <f>IF($B196="","",COUNTIF($C196:$O196,الإعدادات!$H$9))</f>
        <v/>
      </c>
      <c r="V196" s="65" t="str">
        <f>IF($B196="","",COUNTIF($C196:$O196,الإعدادات!$H$10))</f>
        <v/>
      </c>
      <c r="W196" s="66" t="str">
        <f t="shared" si="4"/>
        <v/>
      </c>
      <c r="X196" s="41"/>
      <c r="Y196" s="41"/>
      <c r="Z196" s="41"/>
      <c r="AA196" s="41"/>
      <c r="AB196" s="41"/>
      <c r="AC196" s="41"/>
      <c r="AD196" s="41"/>
      <c r="AE196" s="42"/>
      <c r="AF196" s="30"/>
      <c r="AG196" s="31"/>
    </row>
    <row r="197" spans="1:33">
      <c r="A197" s="11" t="str">
        <f>IF(OR($B$15="",$C$15="لا"),"",$A$15)</f>
        <v/>
      </c>
      <c r="B197" t="str">
        <f>IF(OR($B$15="",$C$15="لا"),"",$B$15)</f>
        <v/>
      </c>
      <c r="P197" s="65" t="str">
        <f>IF($B197="","",COUNTIF($C197:$O197,الإعدادات!$H$4))</f>
        <v/>
      </c>
      <c r="Q197" s="65" t="str">
        <f>IF($B197="","",COUNTIF($C197:$O197,الإعدادات!$H$5))</f>
        <v/>
      </c>
      <c r="R197" s="65" t="str">
        <f>IF($B197="","",COUNTIF($C197:$O197,الإعدادات!$H$6))</f>
        <v/>
      </c>
      <c r="S197" s="65" t="str">
        <f>IF($B197="","",COUNTIF($C197:$O197,الإعدادات!$H$7))</f>
        <v/>
      </c>
      <c r="T197" s="65" t="str">
        <f>IF($B197="","",COUNTIF($C197:$O197,الإعدادات!$H$8))</f>
        <v/>
      </c>
      <c r="U197" s="65" t="str">
        <f>IF($B197="","",COUNTIF($C197:$O197,الإعدادات!$H$9))</f>
        <v/>
      </c>
      <c r="V197" s="65" t="str">
        <f>IF($B197="","",COUNTIF($C197:$O197,الإعدادات!$H$10))</f>
        <v/>
      </c>
      <c r="W197" s="66" t="str">
        <f t="shared" si="4"/>
        <v/>
      </c>
      <c r="X197" s="41"/>
      <c r="Y197" s="41"/>
      <c r="Z197" s="41"/>
      <c r="AA197" s="41"/>
      <c r="AB197" s="41"/>
      <c r="AC197" s="41"/>
      <c r="AD197" s="41"/>
      <c r="AE197" s="42"/>
      <c r="AF197" s="30"/>
      <c r="AG197" s="31"/>
    </row>
    <row r="198" spans="1:33">
      <c r="A198" s="11" t="str">
        <f>IF(OR($B$16="",$C$16="لا"),"",$A$16)</f>
        <v/>
      </c>
      <c r="B198" t="str">
        <f>IF(OR($B$16="",$C$16="لا"),"",$B$16)</f>
        <v/>
      </c>
      <c r="P198" s="65" t="str">
        <f>IF($B198="","",COUNTIF($C198:$O198,الإعدادات!$H$4))</f>
        <v/>
      </c>
      <c r="Q198" s="65" t="str">
        <f>IF($B198="","",COUNTIF($C198:$O198,الإعدادات!$H$5))</f>
        <v/>
      </c>
      <c r="R198" s="65" t="str">
        <f>IF($B198="","",COUNTIF($C198:$O198,الإعدادات!$H$6))</f>
        <v/>
      </c>
      <c r="S198" s="65" t="str">
        <f>IF($B198="","",COUNTIF($C198:$O198,الإعدادات!$H$7))</f>
        <v/>
      </c>
      <c r="T198" s="65" t="str">
        <f>IF($B198="","",COUNTIF($C198:$O198,الإعدادات!$H$8))</f>
        <v/>
      </c>
      <c r="U198" s="65" t="str">
        <f>IF($B198="","",COUNTIF($C198:$O198,الإعدادات!$H$9))</f>
        <v/>
      </c>
      <c r="V198" s="65" t="str">
        <f>IF($B198="","",COUNTIF($C198:$O198,الإعدادات!$H$10))</f>
        <v/>
      </c>
      <c r="W198" s="66" t="str">
        <f t="shared" si="4"/>
        <v/>
      </c>
      <c r="X198" s="41"/>
      <c r="Y198" s="41"/>
      <c r="Z198" s="41"/>
      <c r="AA198" s="41"/>
      <c r="AB198" s="41"/>
      <c r="AC198" s="41"/>
      <c r="AD198" s="41"/>
      <c r="AE198" s="42"/>
      <c r="AF198" s="30"/>
      <c r="AG198" s="31"/>
    </row>
    <row r="199" spans="1:33">
      <c r="A199" s="11" t="str">
        <f>IF(OR($B$17="",$C$17="لا"),"",$A$17)</f>
        <v/>
      </c>
      <c r="B199" t="str">
        <f>IF(OR($B$17="",$C$17="لا"),"",$B$17)</f>
        <v/>
      </c>
      <c r="P199" s="65" t="str">
        <f>IF($B199="","",COUNTIF($C199:$O199,الإعدادات!$H$4))</f>
        <v/>
      </c>
      <c r="Q199" s="65" t="str">
        <f>IF($B199="","",COUNTIF($C199:$O199,الإعدادات!$H$5))</f>
        <v/>
      </c>
      <c r="R199" s="65" t="str">
        <f>IF($B199="","",COUNTIF($C199:$O199,الإعدادات!$H$6))</f>
        <v/>
      </c>
      <c r="S199" s="65" t="str">
        <f>IF($B199="","",COUNTIF($C199:$O199,الإعدادات!$H$7))</f>
        <v/>
      </c>
      <c r="T199" s="65" t="str">
        <f>IF($B199="","",COUNTIF($C199:$O199,الإعدادات!$H$8))</f>
        <v/>
      </c>
      <c r="U199" s="65" t="str">
        <f>IF($B199="","",COUNTIF($C199:$O199,الإعدادات!$H$9))</f>
        <v/>
      </c>
      <c r="V199" s="65" t="str">
        <f>IF($B199="","",COUNTIF($C199:$O199,الإعدادات!$H$10))</f>
        <v/>
      </c>
      <c r="W199" s="66" t="str">
        <f t="shared" si="4"/>
        <v/>
      </c>
      <c r="X199" s="41"/>
      <c r="Y199" s="41"/>
      <c r="Z199" s="41"/>
      <c r="AA199" s="41"/>
      <c r="AB199" s="41"/>
      <c r="AC199" s="41"/>
      <c r="AD199" s="41"/>
      <c r="AE199" s="42"/>
      <c r="AF199" s="30"/>
      <c r="AG199" s="31"/>
    </row>
    <row r="200" spans="1:33">
      <c r="A200" s="11" t="str">
        <f>IF(OR($B$18="",$C$18="لا"),"",$A$18)</f>
        <v/>
      </c>
      <c r="B200" t="str">
        <f>IF(OR($B$18="",$C$18="لا"),"",$B$18)</f>
        <v/>
      </c>
      <c r="P200" s="65" t="str">
        <f>IF($B200="","",COUNTIF($C200:$O200,الإعدادات!$H$4))</f>
        <v/>
      </c>
      <c r="Q200" s="65" t="str">
        <f>IF($B200="","",COUNTIF($C200:$O200,الإعدادات!$H$5))</f>
        <v/>
      </c>
      <c r="R200" s="65" t="str">
        <f>IF($B200="","",COUNTIF($C200:$O200,الإعدادات!$H$6))</f>
        <v/>
      </c>
      <c r="S200" s="65" t="str">
        <f>IF($B200="","",COUNTIF($C200:$O200,الإعدادات!$H$7))</f>
        <v/>
      </c>
      <c r="T200" s="65" t="str">
        <f>IF($B200="","",COUNTIF($C200:$O200,الإعدادات!$H$8))</f>
        <v/>
      </c>
      <c r="U200" s="65" t="str">
        <f>IF($B200="","",COUNTIF($C200:$O200,الإعدادات!$H$9))</f>
        <v/>
      </c>
      <c r="V200" s="65" t="str">
        <f>IF($B200="","",COUNTIF($C200:$O200,الإعدادات!$H$10))</f>
        <v/>
      </c>
      <c r="W200" s="66" t="str">
        <f t="shared" si="4"/>
        <v/>
      </c>
      <c r="X200" s="41"/>
      <c r="Y200" s="41"/>
      <c r="Z200" s="41"/>
      <c r="AA200" s="41"/>
      <c r="AB200" s="41"/>
      <c r="AC200" s="41"/>
      <c r="AD200" s="41"/>
      <c r="AE200" s="42"/>
      <c r="AF200" s="30"/>
      <c r="AG200" s="31"/>
    </row>
    <row r="201" spans="1:33">
      <c r="A201" s="11" t="str">
        <f>IF(OR($B$19="",$C$19="لا"),"",$A$19)</f>
        <v/>
      </c>
      <c r="B201" t="str">
        <f>IF(OR($B$19="",$C$19="لا"),"",$B$19)</f>
        <v/>
      </c>
      <c r="P201" s="65" t="str">
        <f>IF($B201="","",COUNTIF($C201:$O201,الإعدادات!$H$4))</f>
        <v/>
      </c>
      <c r="Q201" s="65" t="str">
        <f>IF($B201="","",COUNTIF($C201:$O201,الإعدادات!$H$5))</f>
        <v/>
      </c>
      <c r="R201" s="65" t="str">
        <f>IF($B201="","",COUNTIF($C201:$O201,الإعدادات!$H$6))</f>
        <v/>
      </c>
      <c r="S201" s="65" t="str">
        <f>IF($B201="","",COUNTIF($C201:$O201,الإعدادات!$H$7))</f>
        <v/>
      </c>
      <c r="T201" s="65" t="str">
        <f>IF($B201="","",COUNTIF($C201:$O201,الإعدادات!$H$8))</f>
        <v/>
      </c>
      <c r="U201" s="65" t="str">
        <f>IF($B201="","",COUNTIF($C201:$O201,الإعدادات!$H$9))</f>
        <v/>
      </c>
      <c r="V201" s="65" t="str">
        <f>IF($B201="","",COUNTIF($C201:$O201,الإعدادات!$H$10))</f>
        <v/>
      </c>
      <c r="W201" s="66" t="str">
        <f t="shared" si="4"/>
        <v/>
      </c>
      <c r="X201" s="41"/>
      <c r="Y201" s="41"/>
      <c r="Z201" s="41"/>
      <c r="AA201" s="41"/>
      <c r="AB201" s="41"/>
      <c r="AC201" s="41"/>
      <c r="AD201" s="41"/>
      <c r="AE201" s="42"/>
      <c r="AF201" s="30"/>
      <c r="AG201" s="31"/>
    </row>
    <row r="202" spans="1:33">
      <c r="A202" s="11" t="str">
        <f>IF(OR($B$20="",$C$20="لا"),"",$A$20)</f>
        <v/>
      </c>
      <c r="B202" t="str">
        <f>IF(OR($B$20="",$C$20="لا"),"",$B$20)</f>
        <v/>
      </c>
      <c r="P202" s="65" t="str">
        <f>IF($B202="","",COUNTIF($C202:$O202,الإعدادات!$H$4))</f>
        <v/>
      </c>
      <c r="Q202" s="65" t="str">
        <f>IF($B202="","",COUNTIF($C202:$O202,الإعدادات!$H$5))</f>
        <v/>
      </c>
      <c r="R202" s="65" t="str">
        <f>IF($B202="","",COUNTIF($C202:$O202,الإعدادات!$H$6))</f>
        <v/>
      </c>
      <c r="S202" s="65" t="str">
        <f>IF($B202="","",COUNTIF($C202:$O202,الإعدادات!$H$7))</f>
        <v/>
      </c>
      <c r="T202" s="65" t="str">
        <f>IF($B202="","",COUNTIF($C202:$O202,الإعدادات!$H$8))</f>
        <v/>
      </c>
      <c r="U202" s="65" t="str">
        <f>IF($B202="","",COUNTIF($C202:$O202,الإعدادات!$H$9))</f>
        <v/>
      </c>
      <c r="V202" s="65" t="str">
        <f>IF($B202="","",COUNTIF($C202:$O202,الإعدادات!$H$10))</f>
        <v/>
      </c>
      <c r="W202" s="66" t="str">
        <f t="shared" si="4"/>
        <v/>
      </c>
      <c r="X202" s="41"/>
      <c r="Y202" s="41"/>
      <c r="Z202" s="41"/>
      <c r="AA202" s="41"/>
      <c r="AB202" s="41"/>
      <c r="AC202" s="41"/>
      <c r="AD202" s="41"/>
      <c r="AE202" s="42"/>
      <c r="AF202" s="30"/>
      <c r="AG202" s="31"/>
    </row>
    <row r="203" spans="1:33">
      <c r="A203" s="11" t="str">
        <f>IF(OR($B$21="",$C$21="لا"),"",$A$21)</f>
        <v/>
      </c>
      <c r="B203" t="str">
        <f>IF(OR($B$21="",$C$21="لا"),"",$B$21)</f>
        <v/>
      </c>
      <c r="P203" s="65" t="str">
        <f>IF($B203="","",COUNTIF($C203:$O203,الإعدادات!$H$4))</f>
        <v/>
      </c>
      <c r="Q203" s="65" t="str">
        <f>IF($B203="","",COUNTIF($C203:$O203,الإعدادات!$H$5))</f>
        <v/>
      </c>
      <c r="R203" s="65" t="str">
        <f>IF($B203="","",COUNTIF($C203:$O203,الإعدادات!$H$6))</f>
        <v/>
      </c>
      <c r="S203" s="65" t="str">
        <f>IF($B203="","",COUNTIF($C203:$O203,الإعدادات!$H$7))</f>
        <v/>
      </c>
      <c r="T203" s="65" t="str">
        <f>IF($B203="","",COUNTIF($C203:$O203,الإعدادات!$H$8))</f>
        <v/>
      </c>
      <c r="U203" s="65" t="str">
        <f>IF($B203="","",COUNTIF($C203:$O203,الإعدادات!$H$9))</f>
        <v/>
      </c>
      <c r="V203" s="65" t="str">
        <f>IF($B203="","",COUNTIF($C203:$O203,الإعدادات!$H$10))</f>
        <v/>
      </c>
      <c r="W203" s="66" t="str">
        <f t="shared" si="4"/>
        <v/>
      </c>
      <c r="X203" s="41"/>
      <c r="Y203" s="41"/>
      <c r="Z203" s="41"/>
      <c r="AA203" s="41"/>
      <c r="AB203" s="41"/>
      <c r="AC203" s="41"/>
      <c r="AD203" s="41"/>
      <c r="AE203" s="42"/>
      <c r="AF203" s="30"/>
      <c r="AG203" s="31"/>
    </row>
    <row r="204" spans="1:33">
      <c r="A204" s="11" t="str">
        <f>IF(OR($B$22="",$C$22="لا"),"",$A$22)</f>
        <v/>
      </c>
      <c r="B204" t="str">
        <f>IF(OR($B$22="",$C$22="لا"),"",$B$22)</f>
        <v/>
      </c>
      <c r="P204" s="65" t="str">
        <f>IF($B204="","",COUNTIF($C204:$O204,الإعدادات!$H$4))</f>
        <v/>
      </c>
      <c r="Q204" s="65" t="str">
        <f>IF($B204="","",COUNTIF($C204:$O204,الإعدادات!$H$5))</f>
        <v/>
      </c>
      <c r="R204" s="65" t="str">
        <f>IF($B204="","",COUNTIF($C204:$O204,الإعدادات!$H$6))</f>
        <v/>
      </c>
      <c r="S204" s="65" t="str">
        <f>IF($B204="","",COUNTIF($C204:$O204,الإعدادات!$H$7))</f>
        <v/>
      </c>
      <c r="T204" s="65" t="str">
        <f>IF($B204="","",COUNTIF($C204:$O204,الإعدادات!$H$8))</f>
        <v/>
      </c>
      <c r="U204" s="65" t="str">
        <f>IF($B204="","",COUNTIF($C204:$O204,الإعدادات!$H$9))</f>
        <v/>
      </c>
      <c r="V204" s="65" t="str">
        <f>IF($B204="","",COUNTIF($C204:$O204,الإعدادات!$H$10))</f>
        <v/>
      </c>
      <c r="W204" s="66" t="str">
        <f t="shared" si="4"/>
        <v/>
      </c>
      <c r="X204" s="41"/>
      <c r="Y204" s="41"/>
      <c r="Z204" s="41"/>
      <c r="AA204" s="41"/>
      <c r="AB204" s="41"/>
      <c r="AC204" s="41"/>
      <c r="AD204" s="41"/>
      <c r="AE204" s="42"/>
      <c r="AF204" s="30"/>
      <c r="AG204" s="31"/>
    </row>
    <row r="205" spans="1:33">
      <c r="A205" s="11" t="str">
        <f>IF(OR($B$23="",$C$23="لا"),"",$A$23)</f>
        <v/>
      </c>
      <c r="B205" t="str">
        <f>IF(OR($B$23="",$C$23="لا"),"",$B$23)</f>
        <v/>
      </c>
      <c r="P205" s="65" t="str">
        <f>IF($B205="","",COUNTIF($C205:$O205,الإعدادات!$H$4))</f>
        <v/>
      </c>
      <c r="Q205" s="65" t="str">
        <f>IF($B205="","",COUNTIF($C205:$O205,الإعدادات!$H$5))</f>
        <v/>
      </c>
      <c r="R205" s="65" t="str">
        <f>IF($B205="","",COUNTIF($C205:$O205,الإعدادات!$H$6))</f>
        <v/>
      </c>
      <c r="S205" s="65" t="str">
        <f>IF($B205="","",COUNTIF($C205:$O205,الإعدادات!$H$7))</f>
        <v/>
      </c>
      <c r="T205" s="65" t="str">
        <f>IF($B205="","",COUNTIF($C205:$O205,الإعدادات!$H$8))</f>
        <v/>
      </c>
      <c r="U205" s="65" t="str">
        <f>IF($B205="","",COUNTIF($C205:$O205,الإعدادات!$H$9))</f>
        <v/>
      </c>
      <c r="V205" s="65" t="str">
        <f>IF($B205="","",COUNTIF($C205:$O205,الإعدادات!$H$10))</f>
        <v/>
      </c>
      <c r="W205" s="66" t="str">
        <f t="shared" si="4"/>
        <v/>
      </c>
      <c r="X205" s="41"/>
      <c r="Y205" s="41"/>
      <c r="Z205" s="41"/>
      <c r="AA205" s="41"/>
      <c r="AB205" s="41"/>
      <c r="AC205" s="41"/>
      <c r="AD205" s="41"/>
      <c r="AE205" s="42"/>
      <c r="AF205" s="30"/>
      <c r="AG205" s="31"/>
    </row>
    <row r="206" spans="1:33">
      <c r="A206" s="11" t="str">
        <f>IF(OR($B$24="",$C$24="لا"),"",$A$24)</f>
        <v/>
      </c>
      <c r="B206" t="str">
        <f>IF(OR($B$24="",$C$24="لا"),"",$B$24)</f>
        <v/>
      </c>
      <c r="P206" s="65" t="str">
        <f>IF($B206="","",COUNTIF($C206:$O206,الإعدادات!$H$4))</f>
        <v/>
      </c>
      <c r="Q206" s="65" t="str">
        <f>IF($B206="","",COUNTIF($C206:$O206,الإعدادات!$H$5))</f>
        <v/>
      </c>
      <c r="R206" s="65" t="str">
        <f>IF($B206="","",COUNTIF($C206:$O206,الإعدادات!$H$6))</f>
        <v/>
      </c>
      <c r="S206" s="65" t="str">
        <f>IF($B206="","",COUNTIF($C206:$O206,الإعدادات!$H$7))</f>
        <v/>
      </c>
      <c r="T206" s="65" t="str">
        <f>IF($B206="","",COUNTIF($C206:$O206,الإعدادات!$H$8))</f>
        <v/>
      </c>
      <c r="U206" s="65" t="str">
        <f>IF($B206="","",COUNTIF($C206:$O206,الإعدادات!$H$9))</f>
        <v/>
      </c>
      <c r="V206" s="65" t="str">
        <f>IF($B206="","",COUNTIF($C206:$O206,الإعدادات!$H$10))</f>
        <v/>
      </c>
      <c r="W206" s="66" t="str">
        <f t="shared" si="4"/>
        <v/>
      </c>
      <c r="X206" s="41"/>
      <c r="Y206" s="41"/>
      <c r="Z206" s="41"/>
      <c r="AA206" s="41"/>
      <c r="AB206" s="41"/>
      <c r="AC206" s="41"/>
      <c r="AD206" s="41"/>
      <c r="AE206" s="42"/>
      <c r="AF206" s="30"/>
      <c r="AG206" s="31"/>
    </row>
    <row r="207" spans="1:33">
      <c r="A207" s="11" t="str">
        <f>IF(OR($B$25="",$C$25="لا"),"",$A$25)</f>
        <v/>
      </c>
      <c r="B207" t="str">
        <f>IF(OR($B$25="",$C$25="لا"),"",$B$25)</f>
        <v/>
      </c>
      <c r="P207" s="65" t="str">
        <f>IF($B207="","",COUNTIF($C207:$O207,الإعدادات!$H$4))</f>
        <v/>
      </c>
      <c r="Q207" s="65" t="str">
        <f>IF($B207="","",COUNTIF($C207:$O207,الإعدادات!$H$5))</f>
        <v/>
      </c>
      <c r="R207" s="65" t="str">
        <f>IF($B207="","",COUNTIF($C207:$O207,الإعدادات!$H$6))</f>
        <v/>
      </c>
      <c r="S207" s="65" t="str">
        <f>IF($B207="","",COUNTIF($C207:$O207,الإعدادات!$H$7))</f>
        <v/>
      </c>
      <c r="T207" s="65" t="str">
        <f>IF($B207="","",COUNTIF($C207:$O207,الإعدادات!$H$8))</f>
        <v/>
      </c>
      <c r="U207" s="65" t="str">
        <f>IF($B207="","",COUNTIF($C207:$O207,الإعدادات!$H$9))</f>
        <v/>
      </c>
      <c r="V207" s="65" t="str">
        <f>IF($B207="","",COUNTIF($C207:$O207,الإعدادات!$H$10))</f>
        <v/>
      </c>
      <c r="W207" s="66" t="str">
        <f t="shared" si="4"/>
        <v/>
      </c>
      <c r="X207" s="41"/>
      <c r="Y207" s="41"/>
      <c r="Z207" s="41"/>
      <c r="AA207" s="41"/>
      <c r="AB207" s="41"/>
      <c r="AC207" s="41"/>
      <c r="AD207" s="41"/>
      <c r="AE207" s="42"/>
      <c r="AF207" s="30"/>
      <c r="AG207" s="31"/>
    </row>
    <row r="208" spans="1:33">
      <c r="A208" s="11" t="str">
        <f>IF(OR($B$26="",$C$26="لا"),"",$A$26)</f>
        <v/>
      </c>
      <c r="B208" t="str">
        <f>IF(OR($B$26="",$C$26="لا"),"",$B$26)</f>
        <v/>
      </c>
      <c r="P208" s="65" t="str">
        <f>IF($B208="","",COUNTIF($C208:$O208,الإعدادات!$H$4))</f>
        <v/>
      </c>
      <c r="Q208" s="65" t="str">
        <f>IF($B208="","",COUNTIF($C208:$O208,الإعدادات!$H$5))</f>
        <v/>
      </c>
      <c r="R208" s="65" t="str">
        <f>IF($B208="","",COUNTIF($C208:$O208,الإعدادات!$H$6))</f>
        <v/>
      </c>
      <c r="S208" s="65" t="str">
        <f>IF($B208="","",COUNTIF($C208:$O208,الإعدادات!$H$7))</f>
        <v/>
      </c>
      <c r="T208" s="65" t="str">
        <f>IF($B208="","",COUNTIF($C208:$O208,الإعدادات!$H$8))</f>
        <v/>
      </c>
      <c r="U208" s="65" t="str">
        <f>IF($B208="","",COUNTIF($C208:$O208,الإعدادات!$H$9))</f>
        <v/>
      </c>
      <c r="V208" s="65" t="str">
        <f>IF($B208="","",COUNTIF($C208:$O208,الإعدادات!$H$10))</f>
        <v/>
      </c>
      <c r="W208" s="66" t="str">
        <f t="shared" si="4"/>
        <v/>
      </c>
      <c r="X208" s="41"/>
      <c r="Y208" s="41"/>
      <c r="Z208" s="41"/>
      <c r="AA208" s="41"/>
      <c r="AB208" s="41"/>
      <c r="AC208" s="41"/>
      <c r="AD208" s="41"/>
      <c r="AE208" s="42"/>
      <c r="AF208" s="30"/>
      <c r="AG208" s="31"/>
    </row>
    <row r="209" spans="1:33">
      <c r="A209" s="11" t="str">
        <f>IF(OR($B$27="",$C$27="لا"),"",$A$27)</f>
        <v/>
      </c>
      <c r="B209" t="str">
        <f>IF(OR($B$27="",$C$27="لا"),"",$B$27)</f>
        <v/>
      </c>
      <c r="P209" s="65" t="str">
        <f>IF($B209="","",COUNTIF($C209:$O209,الإعدادات!$H$4))</f>
        <v/>
      </c>
      <c r="Q209" s="65" t="str">
        <f>IF($B209="","",COUNTIF($C209:$O209,الإعدادات!$H$5))</f>
        <v/>
      </c>
      <c r="R209" s="65" t="str">
        <f>IF($B209="","",COUNTIF($C209:$O209,الإعدادات!$H$6))</f>
        <v/>
      </c>
      <c r="S209" s="65" t="str">
        <f>IF($B209="","",COUNTIF($C209:$O209,الإعدادات!$H$7))</f>
        <v/>
      </c>
      <c r="T209" s="65" t="str">
        <f>IF($B209="","",COUNTIF($C209:$O209,الإعدادات!$H$8))</f>
        <v/>
      </c>
      <c r="U209" s="65" t="str">
        <f>IF($B209="","",COUNTIF($C209:$O209,الإعدادات!$H$9))</f>
        <v/>
      </c>
      <c r="V209" s="65" t="str">
        <f>IF($B209="","",COUNTIF($C209:$O209,الإعدادات!$H$10))</f>
        <v/>
      </c>
      <c r="W209" s="66" t="str">
        <f t="shared" si="4"/>
        <v/>
      </c>
      <c r="X209" s="41"/>
      <c r="Y209" s="41"/>
      <c r="Z209" s="41"/>
      <c r="AA209" s="41"/>
      <c r="AB209" s="41"/>
      <c r="AC209" s="41"/>
      <c r="AD209" s="41"/>
      <c r="AE209" s="42"/>
      <c r="AF209" s="30"/>
      <c r="AG209" s="31"/>
    </row>
    <row r="210" spans="1:33">
      <c r="A210" s="11" t="str">
        <f>IF(OR($B$28="",$C$28="لا"),"",$A$28)</f>
        <v/>
      </c>
      <c r="B210" t="str">
        <f>IF(OR($B$28="",$C$28="لا"),"",$B$28)</f>
        <v/>
      </c>
      <c r="P210" s="65" t="str">
        <f>IF($B210="","",COUNTIF($C210:$O210,الإعدادات!$H$4))</f>
        <v/>
      </c>
      <c r="Q210" s="65" t="str">
        <f>IF($B210="","",COUNTIF($C210:$O210,الإعدادات!$H$5))</f>
        <v/>
      </c>
      <c r="R210" s="65" t="str">
        <f>IF($B210="","",COUNTIF($C210:$O210,الإعدادات!$H$6))</f>
        <v/>
      </c>
      <c r="S210" s="65" t="str">
        <f>IF($B210="","",COUNTIF($C210:$O210,الإعدادات!$H$7))</f>
        <v/>
      </c>
      <c r="T210" s="65" t="str">
        <f>IF($B210="","",COUNTIF($C210:$O210,الإعدادات!$H$8))</f>
        <v/>
      </c>
      <c r="U210" s="65" t="str">
        <f>IF($B210="","",COUNTIF($C210:$O210,الإعدادات!$H$9))</f>
        <v/>
      </c>
      <c r="V210" s="65" t="str">
        <f>IF($B210="","",COUNTIF($C210:$O210,الإعدادات!$H$10))</f>
        <v/>
      </c>
      <c r="W210" s="66" t="str">
        <f t="shared" si="4"/>
        <v/>
      </c>
      <c r="X210" s="41"/>
      <c r="Y210" s="41"/>
      <c r="Z210" s="41"/>
      <c r="AA210" s="41"/>
      <c r="AB210" s="41"/>
      <c r="AC210" s="41"/>
      <c r="AD210" s="41"/>
      <c r="AE210" s="42"/>
      <c r="AF210" s="30"/>
      <c r="AG210" s="31"/>
    </row>
    <row r="211" spans="1:33">
      <c r="A211" s="11" t="str">
        <f>IF(OR($B$29="",$C$29="لا"),"",$A$29)</f>
        <v/>
      </c>
      <c r="B211" t="str">
        <f>IF(OR($B$29="",$C$29="لا"),"",$B$29)</f>
        <v/>
      </c>
      <c r="P211" s="65" t="str">
        <f>IF($B211="","",COUNTIF($C211:$O211,الإعدادات!$H$4))</f>
        <v/>
      </c>
      <c r="Q211" s="65" t="str">
        <f>IF($B211="","",COUNTIF($C211:$O211,الإعدادات!$H$5))</f>
        <v/>
      </c>
      <c r="R211" s="65" t="str">
        <f>IF($B211="","",COUNTIF($C211:$O211,الإعدادات!$H$6))</f>
        <v/>
      </c>
      <c r="S211" s="65" t="str">
        <f>IF($B211="","",COUNTIF($C211:$O211,الإعدادات!$H$7))</f>
        <v/>
      </c>
      <c r="T211" s="65" t="str">
        <f>IF($B211="","",COUNTIF($C211:$O211,الإعدادات!$H$8))</f>
        <v/>
      </c>
      <c r="U211" s="65" t="str">
        <f>IF($B211="","",COUNTIF($C211:$O211,الإعدادات!$H$9))</f>
        <v/>
      </c>
      <c r="V211" s="65" t="str">
        <f>IF($B211="","",COUNTIF($C211:$O211,الإعدادات!$H$10))</f>
        <v/>
      </c>
      <c r="W211" s="66" t="str">
        <f t="shared" si="4"/>
        <v/>
      </c>
      <c r="X211" s="41"/>
      <c r="Y211" s="41"/>
      <c r="Z211" s="41"/>
      <c r="AA211" s="41"/>
      <c r="AB211" s="41"/>
      <c r="AC211" s="41"/>
      <c r="AD211" s="41"/>
      <c r="AE211" s="42"/>
      <c r="AF211" s="30"/>
      <c r="AG211" s="31"/>
    </row>
    <row r="212" spans="1:33">
      <c r="A212" s="11" t="str">
        <f>IF(OR($B$30="",$C$30="لا"),"",$A$30)</f>
        <v/>
      </c>
      <c r="B212" t="str">
        <f>IF(OR($B$30="",$C$30="لا"),"",$B$30)</f>
        <v/>
      </c>
      <c r="P212" s="65" t="str">
        <f>IF($B212="","",COUNTIF($C212:$O212,الإعدادات!$H$4))</f>
        <v/>
      </c>
      <c r="Q212" s="65" t="str">
        <f>IF($B212="","",COUNTIF($C212:$O212,الإعدادات!$H$5))</f>
        <v/>
      </c>
      <c r="R212" s="65" t="str">
        <f>IF($B212="","",COUNTIF($C212:$O212,الإعدادات!$H$6))</f>
        <v/>
      </c>
      <c r="S212" s="65" t="str">
        <f>IF($B212="","",COUNTIF($C212:$O212,الإعدادات!$H$7))</f>
        <v/>
      </c>
      <c r="T212" s="65" t="str">
        <f>IF($B212="","",COUNTIF($C212:$O212,الإعدادات!$H$8))</f>
        <v/>
      </c>
      <c r="U212" s="65" t="str">
        <f>IF($B212="","",COUNTIF($C212:$O212,الإعدادات!$H$9))</f>
        <v/>
      </c>
      <c r="V212" s="65" t="str">
        <f>IF($B212="","",COUNTIF($C212:$O212,الإعدادات!$H$10))</f>
        <v/>
      </c>
      <c r="W212" s="66" t="str">
        <f t="shared" si="4"/>
        <v/>
      </c>
      <c r="X212" s="41"/>
      <c r="Y212" s="41"/>
      <c r="Z212" s="41"/>
      <c r="AA212" s="41"/>
      <c r="AB212" s="41"/>
      <c r="AC212" s="41"/>
      <c r="AD212" s="41"/>
      <c r="AE212" s="42"/>
      <c r="AF212" s="30"/>
      <c r="AG212" s="31"/>
    </row>
    <row r="213" spans="1:33">
      <c r="A213" s="11" t="str">
        <f>IF(OR($B$31="",$C$31="لا"),"",$A$31)</f>
        <v/>
      </c>
      <c r="B213" t="str">
        <f>IF(OR($B$31="",$C$31="لا"),"",$B$31)</f>
        <v/>
      </c>
      <c r="P213" s="65" t="str">
        <f>IF($B213="","",COUNTIF($C213:$O213,الإعدادات!$H$4))</f>
        <v/>
      </c>
      <c r="Q213" s="65" t="str">
        <f>IF($B213="","",COUNTIF($C213:$O213,الإعدادات!$H$5))</f>
        <v/>
      </c>
      <c r="R213" s="65" t="str">
        <f>IF($B213="","",COUNTIF($C213:$O213,الإعدادات!$H$6))</f>
        <v/>
      </c>
      <c r="S213" s="65" t="str">
        <f>IF($B213="","",COUNTIF($C213:$O213,الإعدادات!$H$7))</f>
        <v/>
      </c>
      <c r="T213" s="65" t="str">
        <f>IF($B213="","",COUNTIF($C213:$O213,الإعدادات!$H$8))</f>
        <v/>
      </c>
      <c r="U213" s="65" t="str">
        <f>IF($B213="","",COUNTIF($C213:$O213,الإعدادات!$H$9))</f>
        <v/>
      </c>
      <c r="V213" s="65" t="str">
        <f>IF($B213="","",COUNTIF($C213:$O213,الإعدادات!$H$10))</f>
        <v/>
      </c>
      <c r="W213" s="66" t="str">
        <f t="shared" si="4"/>
        <v/>
      </c>
      <c r="X213" s="41"/>
      <c r="Y213" s="41"/>
      <c r="Z213" s="41"/>
      <c r="AA213" s="41"/>
      <c r="AB213" s="41"/>
      <c r="AC213" s="41"/>
      <c r="AD213" s="41"/>
      <c r="AE213" s="42"/>
      <c r="AF213" s="30"/>
      <c r="AG213" s="31"/>
    </row>
    <row r="214" spans="1:33">
      <c r="A214" s="11" t="str">
        <f>IF(OR($B$32="",$C$32="لا"),"",$A$32)</f>
        <v/>
      </c>
      <c r="B214" t="str">
        <f>IF(OR($B$32="",$C$32="لا"),"",$B$32)</f>
        <v/>
      </c>
      <c r="P214" s="65" t="str">
        <f>IF($B214="","",COUNTIF($C214:$O214,الإعدادات!$H$4))</f>
        <v/>
      </c>
      <c r="Q214" s="65" t="str">
        <f>IF($B214="","",COUNTIF($C214:$O214,الإعدادات!$H$5))</f>
        <v/>
      </c>
      <c r="R214" s="65" t="str">
        <f>IF($B214="","",COUNTIF($C214:$O214,الإعدادات!$H$6))</f>
        <v/>
      </c>
      <c r="S214" s="65" t="str">
        <f>IF($B214="","",COUNTIF($C214:$O214,الإعدادات!$H$7))</f>
        <v/>
      </c>
      <c r="T214" s="65" t="str">
        <f>IF($B214="","",COUNTIF($C214:$O214,الإعدادات!$H$8))</f>
        <v/>
      </c>
      <c r="U214" s="65" t="str">
        <f>IF($B214="","",COUNTIF($C214:$O214,الإعدادات!$H$9))</f>
        <v/>
      </c>
      <c r="V214" s="65" t="str">
        <f>IF($B214="","",COUNTIF($C214:$O214,الإعدادات!$H$10))</f>
        <v/>
      </c>
      <c r="W214" s="66" t="str">
        <f t="shared" si="4"/>
        <v/>
      </c>
      <c r="X214" s="41"/>
      <c r="Y214" s="41"/>
      <c r="Z214" s="41"/>
      <c r="AA214" s="41"/>
      <c r="AB214" s="41"/>
      <c r="AC214" s="41"/>
      <c r="AD214" s="41"/>
      <c r="AE214" s="42"/>
      <c r="AF214" s="30"/>
      <c r="AG214" s="31"/>
    </row>
    <row r="215" spans="1:33">
      <c r="A215" s="11" t="str">
        <f>IF(OR($B$33="",$C$33="لا"),"",$A$33)</f>
        <v/>
      </c>
      <c r="B215" t="str">
        <f>IF(OR($B$33="",$C$33="لا"),"",$B$33)</f>
        <v/>
      </c>
      <c r="P215" s="65" t="str">
        <f>IF($B215="","",COUNTIF($C215:$O215,الإعدادات!$H$4))</f>
        <v/>
      </c>
      <c r="Q215" s="65" t="str">
        <f>IF($B215="","",COUNTIF($C215:$O215,الإعدادات!$H$5))</f>
        <v/>
      </c>
      <c r="R215" s="65" t="str">
        <f>IF($B215="","",COUNTIF($C215:$O215,الإعدادات!$H$6))</f>
        <v/>
      </c>
      <c r="S215" s="65" t="str">
        <f>IF($B215="","",COUNTIF($C215:$O215,الإعدادات!$H$7))</f>
        <v/>
      </c>
      <c r="T215" s="65" t="str">
        <f>IF($B215="","",COUNTIF($C215:$O215,الإعدادات!$H$8))</f>
        <v/>
      </c>
      <c r="U215" s="65" t="str">
        <f>IF($B215="","",COUNTIF($C215:$O215,الإعدادات!$H$9))</f>
        <v/>
      </c>
      <c r="V215" s="65" t="str">
        <f>IF($B215="","",COUNTIF($C215:$O215,الإعدادات!$H$10))</f>
        <v/>
      </c>
      <c r="W215" s="66" t="str">
        <f t="shared" si="4"/>
        <v/>
      </c>
      <c r="X215" s="41"/>
      <c r="Y215" s="41"/>
      <c r="Z215" s="41"/>
      <c r="AA215" s="41"/>
      <c r="AB215" s="41"/>
      <c r="AC215" s="41"/>
      <c r="AD215" s="41"/>
      <c r="AE215" s="42"/>
      <c r="AF215" s="30"/>
      <c r="AG215" s="31"/>
    </row>
    <row r="216" spans="1:33">
      <c r="A216" s="11" t="str">
        <f>IF(OR($B$34="",$C$34="لا"),"",$A$34)</f>
        <v/>
      </c>
      <c r="B216" t="str">
        <f>IF(OR($B$34="",$C$34="لا"),"",$B$34)</f>
        <v/>
      </c>
      <c r="P216" s="65" t="str">
        <f>IF($B216="","",COUNTIF($C216:$O216,الإعدادات!$H$4))</f>
        <v/>
      </c>
      <c r="Q216" s="65" t="str">
        <f>IF($B216="","",COUNTIF($C216:$O216,الإعدادات!$H$5))</f>
        <v/>
      </c>
      <c r="R216" s="65" t="str">
        <f>IF($B216="","",COUNTIF($C216:$O216,الإعدادات!$H$6))</f>
        <v/>
      </c>
      <c r="S216" s="65" t="str">
        <f>IF($B216="","",COUNTIF($C216:$O216,الإعدادات!$H$7))</f>
        <v/>
      </c>
      <c r="T216" s="65" t="str">
        <f>IF($B216="","",COUNTIF($C216:$O216,الإعدادات!$H$8))</f>
        <v/>
      </c>
      <c r="U216" s="65" t="str">
        <f>IF($B216="","",COUNTIF($C216:$O216,الإعدادات!$H$9))</f>
        <v/>
      </c>
      <c r="V216" s="65" t="str">
        <f>IF($B216="","",COUNTIF($C216:$O216,الإعدادات!$H$10))</f>
        <v/>
      </c>
      <c r="W216" s="66" t="str">
        <f t="shared" si="4"/>
        <v/>
      </c>
      <c r="X216" s="41"/>
      <c r="Y216" s="41"/>
      <c r="Z216" s="41"/>
      <c r="AA216" s="41"/>
      <c r="AB216" s="41"/>
      <c r="AC216" s="41"/>
      <c r="AD216" s="41"/>
      <c r="AE216" s="42"/>
      <c r="AF216" s="30"/>
      <c r="AG216" s="31"/>
    </row>
    <row r="217" spans="1:33">
      <c r="A217" s="11" t="str">
        <f>IF(OR($B$35="",$C$35="لا"),"",$A$35)</f>
        <v/>
      </c>
      <c r="B217" t="str">
        <f>IF(OR($B$35="",$C$35="لا"),"",$B$35)</f>
        <v/>
      </c>
      <c r="P217" s="65" t="str">
        <f>IF($B217="","",COUNTIF($C217:$O217,الإعدادات!$H$4))</f>
        <v/>
      </c>
      <c r="Q217" s="65" t="str">
        <f>IF($B217="","",COUNTIF($C217:$O217,الإعدادات!$H$5))</f>
        <v/>
      </c>
      <c r="R217" s="65" t="str">
        <f>IF($B217="","",COUNTIF($C217:$O217,الإعدادات!$H$6))</f>
        <v/>
      </c>
      <c r="S217" s="65" t="str">
        <f>IF($B217="","",COUNTIF($C217:$O217,الإعدادات!$H$7))</f>
        <v/>
      </c>
      <c r="T217" s="65" t="str">
        <f>IF($B217="","",COUNTIF($C217:$O217,الإعدادات!$H$8))</f>
        <v/>
      </c>
      <c r="U217" s="65" t="str">
        <f>IF($B217="","",COUNTIF($C217:$O217,الإعدادات!$H$9))</f>
        <v/>
      </c>
      <c r="V217" s="65" t="str">
        <f>IF($B217="","",COUNTIF($C217:$O217,الإعدادات!$H$10))</f>
        <v/>
      </c>
      <c r="W217" s="66" t="str">
        <f t="shared" si="4"/>
        <v/>
      </c>
      <c r="X217" s="41"/>
      <c r="Y217" s="41"/>
      <c r="Z217" s="41"/>
      <c r="AA217" s="41"/>
      <c r="AB217" s="41"/>
      <c r="AC217" s="41"/>
      <c r="AD217" s="41"/>
      <c r="AE217" s="42"/>
      <c r="AF217" s="30"/>
      <c r="AG217" s="31"/>
    </row>
    <row r="218" spans="1:33">
      <c r="A218" s="11" t="str">
        <f>IF(OR($B$36="",$C$36="لا"),"",$A$36)</f>
        <v/>
      </c>
      <c r="B218" t="str">
        <f>IF(OR($B$36="",$C$36="لا"),"",$B$36)</f>
        <v/>
      </c>
      <c r="P218" s="65" t="str">
        <f>IF($B218="","",COUNTIF($C218:$O218,الإعدادات!$H$4))</f>
        <v/>
      </c>
      <c r="Q218" s="65" t="str">
        <f>IF($B218="","",COUNTIF($C218:$O218,الإعدادات!$H$5))</f>
        <v/>
      </c>
      <c r="R218" s="65" t="str">
        <f>IF($B218="","",COUNTIF($C218:$O218,الإعدادات!$H$6))</f>
        <v/>
      </c>
      <c r="S218" s="65" t="str">
        <f>IF($B218="","",COUNTIF($C218:$O218,الإعدادات!$H$7))</f>
        <v/>
      </c>
      <c r="T218" s="65" t="str">
        <f>IF($B218="","",COUNTIF($C218:$O218,الإعدادات!$H$8))</f>
        <v/>
      </c>
      <c r="U218" s="65" t="str">
        <f>IF($B218="","",COUNTIF($C218:$O218,الإعدادات!$H$9))</f>
        <v/>
      </c>
      <c r="V218" s="65" t="str">
        <f>IF($B218="","",COUNTIF($C218:$O218,الإعدادات!$H$10))</f>
        <v/>
      </c>
      <c r="W218" s="66" t="str">
        <f t="shared" si="4"/>
        <v/>
      </c>
      <c r="X218" s="41"/>
      <c r="Y218" s="41"/>
      <c r="Z218" s="41"/>
      <c r="AA218" s="41"/>
      <c r="AB218" s="41"/>
      <c r="AC218" s="41"/>
      <c r="AD218" s="41"/>
      <c r="AE218" s="42"/>
      <c r="AF218" s="30"/>
      <c r="AG218" s="31"/>
    </row>
    <row r="219" spans="1:33">
      <c r="A219" s="11" t="str">
        <f>IF(OR($B$37="",$C$37="لا"),"",$A$37)</f>
        <v/>
      </c>
      <c r="B219" t="str">
        <f>IF(OR($B$37="",$C$37="لا"),"",$B$37)</f>
        <v/>
      </c>
      <c r="P219" s="65" t="str">
        <f>IF($B219="","",COUNTIF($C219:$O219,الإعدادات!$H$4))</f>
        <v/>
      </c>
      <c r="Q219" s="65" t="str">
        <f>IF($B219="","",COUNTIF($C219:$O219,الإعدادات!$H$5))</f>
        <v/>
      </c>
      <c r="R219" s="65" t="str">
        <f>IF($B219="","",COUNTIF($C219:$O219,الإعدادات!$H$6))</f>
        <v/>
      </c>
      <c r="S219" s="65" t="str">
        <f>IF($B219="","",COUNTIF($C219:$O219,الإعدادات!$H$7))</f>
        <v/>
      </c>
      <c r="T219" s="65" t="str">
        <f>IF($B219="","",COUNTIF($C219:$O219,الإعدادات!$H$8))</f>
        <v/>
      </c>
      <c r="U219" s="65" t="str">
        <f>IF($B219="","",COUNTIF($C219:$O219,الإعدادات!$H$9))</f>
        <v/>
      </c>
      <c r="V219" s="65" t="str">
        <f>IF($B219="","",COUNTIF($C219:$O219,الإعدادات!$H$10))</f>
        <v/>
      </c>
      <c r="W219" s="66" t="str">
        <f t="shared" si="4"/>
        <v/>
      </c>
      <c r="X219" s="41"/>
      <c r="Y219" s="41"/>
      <c r="Z219" s="41"/>
      <c r="AA219" s="41"/>
      <c r="AB219" s="41"/>
      <c r="AC219" s="41"/>
      <c r="AD219" s="41"/>
      <c r="AE219" s="42"/>
      <c r="AF219" s="30"/>
      <c r="AG219" s="31"/>
    </row>
    <row r="220" spans="1:33">
      <c r="A220" s="11" t="str">
        <f>IF(OR($B$38="",$C$38="لا"),"",$A$38)</f>
        <v/>
      </c>
      <c r="B220" t="str">
        <f>IF(OR($B$38="",$C$38="لا"),"",$B$38)</f>
        <v/>
      </c>
      <c r="P220" s="65" t="str">
        <f>IF($B220="","",COUNTIF($C220:$O220,الإعدادات!$H$4))</f>
        <v/>
      </c>
      <c r="Q220" s="65" t="str">
        <f>IF($B220="","",COUNTIF($C220:$O220,الإعدادات!$H$5))</f>
        <v/>
      </c>
      <c r="R220" s="65" t="str">
        <f>IF($B220="","",COUNTIF($C220:$O220,الإعدادات!$H$6))</f>
        <v/>
      </c>
      <c r="S220" s="65" t="str">
        <f>IF($B220="","",COUNTIF($C220:$O220,الإعدادات!$H$7))</f>
        <v/>
      </c>
      <c r="T220" s="65" t="str">
        <f>IF($B220="","",COUNTIF($C220:$O220,الإعدادات!$H$8))</f>
        <v/>
      </c>
      <c r="U220" s="65" t="str">
        <f>IF($B220="","",COUNTIF($C220:$O220,الإعدادات!$H$9))</f>
        <v/>
      </c>
      <c r="V220" s="65" t="str">
        <f>IF($B220="","",COUNTIF($C220:$O220,الإعدادات!$H$10))</f>
        <v/>
      </c>
      <c r="W220" s="66" t="str">
        <f t="shared" si="4"/>
        <v/>
      </c>
      <c r="X220" s="41"/>
      <c r="Y220" s="41"/>
      <c r="Z220" s="41"/>
      <c r="AA220" s="41"/>
      <c r="AB220" s="41"/>
      <c r="AC220" s="41"/>
      <c r="AD220" s="41"/>
      <c r="AE220" s="42"/>
      <c r="AF220" s="30"/>
      <c r="AG220" s="31"/>
    </row>
    <row r="221" spans="1:33">
      <c r="A221" s="11" t="str">
        <f>IF(OR($B$39="",$C$39="لا"),"",$A$39)</f>
        <v/>
      </c>
      <c r="B221" t="str">
        <f>IF(OR($B$39="",$C$39="لا"),"",$B$39)</f>
        <v/>
      </c>
      <c r="P221" s="65" t="str">
        <f>IF($B221="","",COUNTIF($C221:$O221,الإعدادات!$H$4))</f>
        <v/>
      </c>
      <c r="Q221" s="65" t="str">
        <f>IF($B221="","",COUNTIF($C221:$O221,الإعدادات!$H$5))</f>
        <v/>
      </c>
      <c r="R221" s="65" t="str">
        <f>IF($B221="","",COUNTIF($C221:$O221,الإعدادات!$H$6))</f>
        <v/>
      </c>
      <c r="S221" s="65" t="str">
        <f>IF($B221="","",COUNTIF($C221:$O221,الإعدادات!$H$7))</f>
        <v/>
      </c>
      <c r="T221" s="65" t="str">
        <f>IF($B221="","",COUNTIF($C221:$O221,الإعدادات!$H$8))</f>
        <v/>
      </c>
      <c r="U221" s="65" t="str">
        <f>IF($B221="","",COUNTIF($C221:$O221,الإعدادات!$H$9))</f>
        <v/>
      </c>
      <c r="V221" s="65" t="str">
        <f>IF($B221="","",COUNTIF($C221:$O221,الإعدادات!$H$10))</f>
        <v/>
      </c>
      <c r="W221" s="66" t="str">
        <f t="shared" si="4"/>
        <v/>
      </c>
      <c r="X221" s="41"/>
      <c r="Y221" s="41"/>
      <c r="Z221" s="41"/>
      <c r="AA221" s="41"/>
      <c r="AB221" s="41"/>
      <c r="AC221" s="41"/>
      <c r="AD221" s="41"/>
      <c r="AE221" s="42"/>
      <c r="AF221" s="30"/>
      <c r="AG221" s="31"/>
    </row>
    <row r="222" spans="1:33">
      <c r="A222" s="11" t="str">
        <f>IF(OR($B$40="",$C$40="لا"),"",$A$40)</f>
        <v/>
      </c>
      <c r="B222" t="str">
        <f>IF(OR($B$40="",$C$40="لا"),"",$B$40)</f>
        <v/>
      </c>
      <c r="P222" s="65" t="str">
        <f>IF($B222="","",COUNTIF($C222:$O222,الإعدادات!$H$4))</f>
        <v/>
      </c>
      <c r="Q222" s="65" t="str">
        <f>IF($B222="","",COUNTIF($C222:$O222,الإعدادات!$H$5))</f>
        <v/>
      </c>
      <c r="R222" s="65" t="str">
        <f>IF($B222="","",COUNTIF($C222:$O222,الإعدادات!$H$6))</f>
        <v/>
      </c>
      <c r="S222" s="65" t="str">
        <f>IF($B222="","",COUNTIF($C222:$O222,الإعدادات!$H$7))</f>
        <v/>
      </c>
      <c r="T222" s="65" t="str">
        <f>IF($B222="","",COUNTIF($C222:$O222,الإعدادات!$H$8))</f>
        <v/>
      </c>
      <c r="U222" s="65" t="str">
        <f>IF($B222="","",COUNTIF($C222:$O222,الإعدادات!$H$9))</f>
        <v/>
      </c>
      <c r="V222" s="65" t="str">
        <f>IF($B222="","",COUNTIF($C222:$O222,الإعدادات!$H$10))</f>
        <v/>
      </c>
      <c r="W222" s="66" t="str">
        <f t="shared" si="4"/>
        <v/>
      </c>
      <c r="X222" s="41"/>
      <c r="Y222" s="41"/>
      <c r="Z222" s="41"/>
      <c r="AA222" s="41"/>
      <c r="AB222" s="41"/>
      <c r="AC222" s="41"/>
      <c r="AD222" s="41"/>
      <c r="AE222" s="42"/>
      <c r="AF222" s="30"/>
      <c r="AG222" s="31"/>
    </row>
    <row r="223" spans="1:33">
      <c r="A223" s="11" t="str">
        <f>IF(OR($B$41="",$C$41="لا"),"",$A$41)</f>
        <v/>
      </c>
      <c r="B223" t="str">
        <f>IF(OR($B$41="",$C$41="لا"),"",$B$41)</f>
        <v/>
      </c>
      <c r="P223" s="65" t="str">
        <f>IF($B223="","",COUNTIF($C223:$O223,الإعدادات!$H$4))</f>
        <v/>
      </c>
      <c r="Q223" s="65" t="str">
        <f>IF($B223="","",COUNTIF($C223:$O223,الإعدادات!$H$5))</f>
        <v/>
      </c>
      <c r="R223" s="65" t="str">
        <f>IF($B223="","",COUNTIF($C223:$O223,الإعدادات!$H$6))</f>
        <v/>
      </c>
      <c r="S223" s="65" t="str">
        <f>IF($B223="","",COUNTIF($C223:$O223,الإعدادات!$H$7))</f>
        <v/>
      </c>
      <c r="T223" s="65" t="str">
        <f>IF($B223="","",COUNTIF($C223:$O223,الإعدادات!$H$8))</f>
        <v/>
      </c>
      <c r="U223" s="65" t="str">
        <f>IF($B223="","",COUNTIF($C223:$O223,الإعدادات!$H$9))</f>
        <v/>
      </c>
      <c r="V223" s="65" t="str">
        <f>IF($B223="","",COUNTIF($C223:$O223,الإعدادات!$H$10))</f>
        <v/>
      </c>
      <c r="W223" s="66" t="str">
        <f t="shared" si="4"/>
        <v/>
      </c>
      <c r="X223" s="41"/>
      <c r="Y223" s="41"/>
      <c r="Z223" s="41"/>
      <c r="AA223" s="41"/>
      <c r="AB223" s="41"/>
      <c r="AC223" s="41"/>
      <c r="AD223" s="41"/>
      <c r="AE223" s="42"/>
      <c r="AF223" s="30"/>
      <c r="AG223" s="31"/>
    </row>
    <row r="224" spans="1:33">
      <c r="A224" s="11" t="str">
        <f>IF(OR($B$42="",$C$42="لا"),"",$A$42)</f>
        <v/>
      </c>
      <c r="B224" t="str">
        <f>IF(OR($B$42="",$C$42="لا"),"",$B$42)</f>
        <v/>
      </c>
      <c r="P224" s="65" t="str">
        <f>IF($B224="","",COUNTIF($C224:$O224,الإعدادات!$H$4))</f>
        <v/>
      </c>
      <c r="Q224" s="65" t="str">
        <f>IF($B224="","",COUNTIF($C224:$O224,الإعدادات!$H$5))</f>
        <v/>
      </c>
      <c r="R224" s="65" t="str">
        <f>IF($B224="","",COUNTIF($C224:$O224,الإعدادات!$H$6))</f>
        <v/>
      </c>
      <c r="S224" s="65" t="str">
        <f>IF($B224="","",COUNTIF($C224:$O224,الإعدادات!$H$7))</f>
        <v/>
      </c>
      <c r="T224" s="65" t="str">
        <f>IF($B224="","",COUNTIF($C224:$O224,الإعدادات!$H$8))</f>
        <v/>
      </c>
      <c r="U224" s="65" t="str">
        <f>IF($B224="","",COUNTIF($C224:$O224,الإعدادات!$H$9))</f>
        <v/>
      </c>
      <c r="V224" s="65" t="str">
        <f>IF($B224="","",COUNTIF($C224:$O224,الإعدادات!$H$10))</f>
        <v/>
      </c>
      <c r="W224" s="66" t="str">
        <f t="shared" si="4"/>
        <v/>
      </c>
      <c r="X224" s="41"/>
      <c r="Y224" s="41"/>
      <c r="Z224" s="41"/>
      <c r="AA224" s="41"/>
      <c r="AB224" s="41"/>
      <c r="AC224" s="41"/>
      <c r="AD224" s="41"/>
      <c r="AE224" s="42"/>
      <c r="AF224" s="30"/>
      <c r="AG224" s="31"/>
    </row>
    <row r="225" spans="1:33">
      <c r="A225" s="11" t="str">
        <f>IF(OR($B$43="",$C$43="لا"),"",$A$43)</f>
        <v/>
      </c>
      <c r="B225" t="str">
        <f>IF(OR($B$43="",$C$43="لا"),"",$B$43)</f>
        <v/>
      </c>
      <c r="P225" s="65" t="str">
        <f>IF($B225="","",COUNTIF($C225:$O225,الإعدادات!$H$4))</f>
        <v/>
      </c>
      <c r="Q225" s="65" t="str">
        <f>IF($B225="","",COUNTIF($C225:$O225,الإعدادات!$H$5))</f>
        <v/>
      </c>
      <c r="R225" s="65" t="str">
        <f>IF($B225="","",COUNTIF($C225:$O225,الإعدادات!$H$6))</f>
        <v/>
      </c>
      <c r="S225" s="65" t="str">
        <f>IF($B225="","",COUNTIF($C225:$O225,الإعدادات!$H$7))</f>
        <v/>
      </c>
      <c r="T225" s="65" t="str">
        <f>IF($B225="","",COUNTIF($C225:$O225,الإعدادات!$H$8))</f>
        <v/>
      </c>
      <c r="U225" s="65" t="str">
        <f>IF($B225="","",COUNTIF($C225:$O225,الإعدادات!$H$9))</f>
        <v/>
      </c>
      <c r="V225" s="65" t="str">
        <f>IF($B225="","",COUNTIF($C225:$O225,الإعدادات!$H$10))</f>
        <v/>
      </c>
      <c r="W225" s="66" t="str">
        <f t="shared" si="4"/>
        <v/>
      </c>
      <c r="X225" s="41"/>
      <c r="Y225" s="41"/>
      <c r="Z225" s="41"/>
      <c r="AA225" s="41"/>
      <c r="AB225" s="41"/>
      <c r="AC225" s="41"/>
      <c r="AD225" s="41"/>
      <c r="AE225" s="42"/>
      <c r="AF225" s="30"/>
      <c r="AG225" s="31"/>
    </row>
    <row r="226" spans="1:33">
      <c r="A226" s="11" t="str">
        <f>IF(OR($B$44="",$C$44="لا"),"",$A$44)</f>
        <v/>
      </c>
      <c r="B226" t="str">
        <f>IF(OR($B$44="",$C$44="لا"),"",$B$44)</f>
        <v/>
      </c>
      <c r="P226" s="65" t="str">
        <f>IF($B226="","",COUNTIF($C226:$O226,الإعدادات!$H$4))</f>
        <v/>
      </c>
      <c r="Q226" s="65" t="str">
        <f>IF($B226="","",COUNTIF($C226:$O226,الإعدادات!$H$5))</f>
        <v/>
      </c>
      <c r="R226" s="65" t="str">
        <f>IF($B226="","",COUNTIF($C226:$O226,الإعدادات!$H$6))</f>
        <v/>
      </c>
      <c r="S226" s="65" t="str">
        <f>IF($B226="","",COUNTIF($C226:$O226,الإعدادات!$H$7))</f>
        <v/>
      </c>
      <c r="T226" s="65" t="str">
        <f>IF($B226="","",COUNTIF($C226:$O226,الإعدادات!$H$8))</f>
        <v/>
      </c>
      <c r="U226" s="65" t="str">
        <f>IF($B226="","",COUNTIF($C226:$O226,الإعدادات!$H$9))</f>
        <v/>
      </c>
      <c r="V226" s="65" t="str">
        <f>IF($B226="","",COUNTIF($C226:$O226,الإعدادات!$H$10))</f>
        <v/>
      </c>
      <c r="W226" s="66" t="str">
        <f t="shared" si="4"/>
        <v/>
      </c>
      <c r="X226" s="41"/>
      <c r="Y226" s="41"/>
      <c r="Z226" s="41"/>
      <c r="AA226" s="41"/>
      <c r="AB226" s="41"/>
      <c r="AC226" s="41"/>
      <c r="AD226" s="41"/>
      <c r="AE226" s="42"/>
      <c r="AF226" s="30"/>
      <c r="AG226" s="31"/>
    </row>
    <row r="227" spans="1:33">
      <c r="A227" s="11" t="str">
        <f>IF(OR($B$45="",$C$45="لا"),"",$A$45)</f>
        <v/>
      </c>
      <c r="B227" t="str">
        <f>IF(OR($B$45="",$C$45="لا"),"",$B$45)</f>
        <v/>
      </c>
      <c r="P227" s="65" t="str">
        <f>IF($B227="","",COUNTIF($C227:$O227,الإعدادات!$H$4))</f>
        <v/>
      </c>
      <c r="Q227" s="65" t="str">
        <f>IF($B227="","",COUNTIF($C227:$O227,الإعدادات!$H$5))</f>
        <v/>
      </c>
      <c r="R227" s="65" t="str">
        <f>IF($B227="","",COUNTIF($C227:$O227,الإعدادات!$H$6))</f>
        <v/>
      </c>
      <c r="S227" s="65" t="str">
        <f>IF($B227="","",COUNTIF($C227:$O227,الإعدادات!$H$7))</f>
        <v/>
      </c>
      <c r="T227" s="65" t="str">
        <f>IF($B227="","",COUNTIF($C227:$O227,الإعدادات!$H$8))</f>
        <v/>
      </c>
      <c r="U227" s="65" t="str">
        <f>IF($B227="","",COUNTIF($C227:$O227,الإعدادات!$H$9))</f>
        <v/>
      </c>
      <c r="V227" s="65" t="str">
        <f>IF($B227="","",COUNTIF($C227:$O227,الإعدادات!$H$10))</f>
        <v/>
      </c>
      <c r="W227" s="66" t="str">
        <f t="shared" si="4"/>
        <v/>
      </c>
      <c r="X227" s="41"/>
      <c r="Y227" s="41"/>
      <c r="Z227" s="41"/>
      <c r="AA227" s="41"/>
      <c r="AB227" s="41"/>
      <c r="AC227" s="41"/>
      <c r="AD227" s="41"/>
      <c r="AE227" s="42"/>
      <c r="AF227" s="30"/>
      <c r="AG227" s="31"/>
    </row>
    <row r="228" spans="1:33">
      <c r="A228" s="11" t="str">
        <f>IF(OR($B$46="",$C$46="لا"),"",$A$46)</f>
        <v/>
      </c>
      <c r="B228" t="str">
        <f>IF(OR($B$46="",$C$46="لا"),"",$B$46)</f>
        <v/>
      </c>
      <c r="P228" s="65" t="str">
        <f>IF($B228="","",COUNTIF($C228:$O228,الإعدادات!$H$4))</f>
        <v/>
      </c>
      <c r="Q228" s="65" t="str">
        <f>IF($B228="","",COUNTIF($C228:$O228,الإعدادات!$H$5))</f>
        <v/>
      </c>
      <c r="R228" s="65" t="str">
        <f>IF($B228="","",COUNTIF($C228:$O228,الإعدادات!$H$6))</f>
        <v/>
      </c>
      <c r="S228" s="65" t="str">
        <f>IF($B228="","",COUNTIF($C228:$O228,الإعدادات!$H$7))</f>
        <v/>
      </c>
      <c r="T228" s="65" t="str">
        <f>IF($B228="","",COUNTIF($C228:$O228,الإعدادات!$H$8))</f>
        <v/>
      </c>
      <c r="U228" s="65" t="str">
        <f>IF($B228="","",COUNTIF($C228:$O228,الإعدادات!$H$9))</f>
        <v/>
      </c>
      <c r="V228" s="65" t="str">
        <f>IF($B228="","",COUNTIF($C228:$O228,الإعدادات!$H$10))</f>
        <v/>
      </c>
      <c r="W228" s="66" t="str">
        <f t="shared" si="4"/>
        <v/>
      </c>
      <c r="X228" s="41"/>
      <c r="Y228" s="41"/>
      <c r="Z228" s="41"/>
      <c r="AA228" s="41"/>
      <c r="AB228" s="41"/>
      <c r="AC228" s="41"/>
      <c r="AD228" s="41"/>
      <c r="AE228" s="42"/>
      <c r="AF228" s="30"/>
      <c r="AG228" s="31"/>
    </row>
    <row r="229" spans="1:33">
      <c r="A229" s="11" t="str">
        <f>IF(OR($B$47="",$C$47="لا"),"",$A$47)</f>
        <v/>
      </c>
      <c r="B229" t="str">
        <f>IF(OR($B$47="",$C$47="لا"),"",$B$47)</f>
        <v/>
      </c>
      <c r="P229" s="65" t="str">
        <f>IF($B229="","",COUNTIF($C229:$O229,الإعدادات!$H$4))</f>
        <v/>
      </c>
      <c r="Q229" s="65" t="str">
        <f>IF($B229="","",COUNTIF($C229:$O229,الإعدادات!$H$5))</f>
        <v/>
      </c>
      <c r="R229" s="65" t="str">
        <f>IF($B229="","",COUNTIF($C229:$O229,الإعدادات!$H$6))</f>
        <v/>
      </c>
      <c r="S229" s="65" t="str">
        <f>IF($B229="","",COUNTIF($C229:$O229,الإعدادات!$H$7))</f>
        <v/>
      </c>
      <c r="T229" s="65" t="str">
        <f>IF($B229="","",COUNTIF($C229:$O229,الإعدادات!$H$8))</f>
        <v/>
      </c>
      <c r="U229" s="65" t="str">
        <f>IF($B229="","",COUNTIF($C229:$O229,الإعدادات!$H$9))</f>
        <v/>
      </c>
      <c r="V229" s="65" t="str">
        <f>IF($B229="","",COUNTIF($C229:$O229,الإعدادات!$H$10))</f>
        <v/>
      </c>
      <c r="W229" s="66" t="str">
        <f t="shared" si="4"/>
        <v/>
      </c>
      <c r="X229" s="41"/>
      <c r="Y229" s="41"/>
      <c r="Z229" s="41"/>
      <c r="AA229" s="41"/>
      <c r="AB229" s="41"/>
      <c r="AC229" s="41"/>
      <c r="AD229" s="41"/>
      <c r="AE229" s="42"/>
      <c r="AF229" s="30"/>
      <c r="AG229" s="31"/>
    </row>
    <row r="230" spans="1:33">
      <c r="A230" s="13" t="str">
        <f>IF(OR($B$48="",$C$48="لا"),"",$A$48)</f>
        <v/>
      </c>
      <c r="B230" s="14" t="str">
        <f>IF(OR($B$48="",$C$48="لا"),"",$B$48)</f>
        <v/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67" t="str">
        <f>IF($B230="","",COUNTIF($C230:$O230,الإعدادات!$H$4))</f>
        <v/>
      </c>
      <c r="Q230" s="67" t="str">
        <f>IF($B230="","",COUNTIF($C230:$O230,الإعدادات!$H$5))</f>
        <v/>
      </c>
      <c r="R230" s="67" t="str">
        <f>IF($B230="","",COUNTIF($C230:$O230,الإعدادات!$H$6))</f>
        <v/>
      </c>
      <c r="S230" s="67" t="str">
        <f>IF($B230="","",COUNTIF($C230:$O230,الإعدادات!$H$7))</f>
        <v/>
      </c>
      <c r="T230" s="67" t="str">
        <f>IF($B230="","",COUNTIF($C230:$O230,الإعدادات!$H$8))</f>
        <v/>
      </c>
      <c r="U230" s="67" t="str">
        <f>IF($B230="","",COUNTIF($C230:$O230,الإعدادات!$H$9))</f>
        <v/>
      </c>
      <c r="V230" s="67" t="str">
        <f>IF($B230="","",COUNTIF($C230:$O230,الإعدادات!$H$10))</f>
        <v/>
      </c>
      <c r="W230" s="68" t="str">
        <f t="shared" si="4"/>
        <v/>
      </c>
      <c r="X230" s="43"/>
      <c r="Y230" s="43"/>
      <c r="Z230" s="43"/>
      <c r="AA230" s="43"/>
      <c r="AB230" s="43"/>
      <c r="AC230" s="43"/>
      <c r="AD230" s="43"/>
      <c r="AE230" s="44"/>
      <c r="AF230" s="32"/>
      <c r="AG230" s="33"/>
    </row>
    <row r="234" spans="1:33" ht="16.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spans="1:33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</row>
    <row r="236" spans="1:33" ht="38.1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3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39"/>
      <c r="Z237" s="39"/>
      <c r="AA237" s="39"/>
      <c r="AB237" s="39"/>
      <c r="AC237" s="39"/>
      <c r="AD237" s="39"/>
      <c r="AE237" s="39"/>
      <c r="AF237" s="40"/>
    </row>
    <row r="238" spans="1:33">
      <c r="A238" s="11"/>
      <c r="Y238" s="41"/>
      <c r="Z238" s="41"/>
      <c r="AA238" s="41"/>
      <c r="AB238" s="41"/>
      <c r="AC238" s="41"/>
      <c r="AD238" s="41"/>
      <c r="AE238" s="41"/>
      <c r="AF238" s="42"/>
    </row>
    <row r="239" spans="1:33">
      <c r="A239" s="11"/>
      <c r="Y239" s="41"/>
      <c r="Z239" s="41"/>
      <c r="AA239" s="41"/>
      <c r="AB239" s="41"/>
      <c r="AC239" s="41"/>
      <c r="AD239" s="41"/>
      <c r="AE239" s="41"/>
      <c r="AF239" s="42"/>
    </row>
    <row r="240" spans="1:33">
      <c r="A240" s="11"/>
      <c r="Y240" s="41"/>
      <c r="Z240" s="41"/>
      <c r="AA240" s="41"/>
      <c r="AB240" s="41"/>
      <c r="AC240" s="41"/>
      <c r="AD240" s="41"/>
      <c r="AE240" s="41"/>
      <c r="AF240" s="42"/>
    </row>
    <row r="241" spans="1:32">
      <c r="A241" s="11"/>
      <c r="Y241" s="41"/>
      <c r="Z241" s="41"/>
      <c r="AA241" s="41"/>
      <c r="AB241" s="41"/>
      <c r="AC241" s="41"/>
      <c r="AD241" s="41"/>
      <c r="AE241" s="41"/>
      <c r="AF241" s="42"/>
    </row>
    <row r="242" spans="1:32">
      <c r="A242" s="11"/>
      <c r="Y242" s="41"/>
      <c r="Z242" s="41"/>
      <c r="AA242" s="41"/>
      <c r="AB242" s="41"/>
      <c r="AC242" s="41"/>
      <c r="AD242" s="41"/>
      <c r="AE242" s="41"/>
      <c r="AF242" s="42"/>
    </row>
    <row r="243" spans="1:32">
      <c r="A243" s="11"/>
      <c r="Y243" s="41"/>
      <c r="Z243" s="41"/>
      <c r="AA243" s="41"/>
      <c r="AB243" s="41"/>
      <c r="AC243" s="41"/>
      <c r="AD243" s="41"/>
      <c r="AE243" s="41"/>
      <c r="AF243" s="42"/>
    </row>
    <row r="244" spans="1:32">
      <c r="A244" s="11"/>
      <c r="Y244" s="41"/>
      <c r="Z244" s="41"/>
      <c r="AA244" s="41"/>
      <c r="AB244" s="41"/>
      <c r="AC244" s="41"/>
      <c r="AD244" s="41"/>
      <c r="AE244" s="41"/>
      <c r="AF244" s="42"/>
    </row>
    <row r="245" spans="1:32">
      <c r="A245" s="11"/>
      <c r="Y245" s="41"/>
      <c r="Z245" s="41"/>
      <c r="AA245" s="41"/>
      <c r="AB245" s="41"/>
      <c r="AC245" s="41"/>
      <c r="AD245" s="41"/>
      <c r="AE245" s="41"/>
      <c r="AF245" s="42"/>
    </row>
    <row r="246" spans="1:32">
      <c r="A246" s="11"/>
      <c r="Y246" s="41"/>
      <c r="Z246" s="41"/>
      <c r="AA246" s="41"/>
      <c r="AB246" s="41"/>
      <c r="AC246" s="41"/>
      <c r="AD246" s="41"/>
      <c r="AE246" s="41"/>
      <c r="AF246" s="42"/>
    </row>
    <row r="247" spans="1:32">
      <c r="A247" s="11"/>
      <c r="Y247" s="41"/>
      <c r="Z247" s="41"/>
      <c r="AA247" s="41"/>
      <c r="AB247" s="41"/>
      <c r="AC247" s="41"/>
      <c r="AD247" s="41"/>
      <c r="AE247" s="41"/>
      <c r="AF247" s="42"/>
    </row>
    <row r="248" spans="1:32">
      <c r="A248" s="11"/>
      <c r="Y248" s="41"/>
      <c r="Z248" s="41"/>
      <c r="AA248" s="41"/>
      <c r="AB248" s="41"/>
      <c r="AC248" s="41"/>
      <c r="AD248" s="41"/>
      <c r="AE248" s="41"/>
      <c r="AF248" s="42"/>
    </row>
    <row r="249" spans="1:32">
      <c r="A249" s="11"/>
      <c r="Y249" s="41"/>
      <c r="Z249" s="41"/>
      <c r="AA249" s="41"/>
      <c r="AB249" s="41"/>
      <c r="AC249" s="41"/>
      <c r="AD249" s="41"/>
      <c r="AE249" s="41"/>
      <c r="AF249" s="42"/>
    </row>
    <row r="250" spans="1:32">
      <c r="A250" s="11"/>
      <c r="Y250" s="41"/>
      <c r="Z250" s="41"/>
      <c r="AA250" s="41"/>
      <c r="AB250" s="41"/>
      <c r="AC250" s="41"/>
      <c r="AD250" s="41"/>
      <c r="AE250" s="41"/>
      <c r="AF250" s="42"/>
    </row>
    <row r="251" spans="1:32">
      <c r="A251" s="11"/>
      <c r="Y251" s="41"/>
      <c r="Z251" s="41"/>
      <c r="AA251" s="41"/>
      <c r="AB251" s="41"/>
      <c r="AC251" s="41"/>
      <c r="AD251" s="41"/>
      <c r="AE251" s="41"/>
      <c r="AF251" s="42"/>
    </row>
    <row r="252" spans="1:32">
      <c r="A252" s="11"/>
      <c r="Y252" s="41"/>
      <c r="Z252" s="41"/>
      <c r="AA252" s="41"/>
      <c r="AB252" s="41"/>
      <c r="AC252" s="41"/>
      <c r="AD252" s="41"/>
      <c r="AE252" s="41"/>
      <c r="AF252" s="42"/>
    </row>
    <row r="253" spans="1:32">
      <c r="A253" s="11"/>
      <c r="Y253" s="41"/>
      <c r="Z253" s="41"/>
      <c r="AA253" s="41"/>
      <c r="AB253" s="41"/>
      <c r="AC253" s="41"/>
      <c r="AD253" s="41"/>
      <c r="AE253" s="41"/>
      <c r="AF253" s="42"/>
    </row>
    <row r="254" spans="1:32">
      <c r="A254" s="11"/>
      <c r="Y254" s="41"/>
      <c r="Z254" s="41"/>
      <c r="AA254" s="41"/>
      <c r="AB254" s="41"/>
      <c r="AC254" s="41"/>
      <c r="AD254" s="41"/>
      <c r="AE254" s="41"/>
      <c r="AF254" s="42"/>
    </row>
    <row r="255" spans="1:32">
      <c r="A255" s="11"/>
      <c r="Y255" s="41"/>
      <c r="Z255" s="41"/>
      <c r="AA255" s="41"/>
      <c r="AB255" s="41"/>
      <c r="AC255" s="41"/>
      <c r="AD255" s="41"/>
      <c r="AE255" s="41"/>
      <c r="AF255" s="42"/>
    </row>
    <row r="256" spans="1:32">
      <c r="A256" s="11"/>
      <c r="Y256" s="41"/>
      <c r="Z256" s="41"/>
      <c r="AA256" s="41"/>
      <c r="AB256" s="41"/>
      <c r="AC256" s="41"/>
      <c r="AD256" s="41"/>
      <c r="AE256" s="41"/>
      <c r="AF256" s="42"/>
    </row>
    <row r="257" spans="1:32">
      <c r="A257" s="11"/>
      <c r="Y257" s="41"/>
      <c r="Z257" s="41"/>
      <c r="AA257" s="41"/>
      <c r="AB257" s="41"/>
      <c r="AC257" s="41"/>
      <c r="AD257" s="41"/>
      <c r="AE257" s="41"/>
      <c r="AF257" s="42"/>
    </row>
    <row r="258" spans="1:32">
      <c r="A258" s="11"/>
      <c r="Y258" s="41"/>
      <c r="Z258" s="41"/>
      <c r="AA258" s="41"/>
      <c r="AB258" s="41"/>
      <c r="AC258" s="41"/>
      <c r="AD258" s="41"/>
      <c r="AE258" s="41"/>
      <c r="AF258" s="42"/>
    </row>
    <row r="259" spans="1:32">
      <c r="A259" s="11"/>
      <c r="Y259" s="41"/>
      <c r="Z259" s="41"/>
      <c r="AA259" s="41"/>
      <c r="AB259" s="41"/>
      <c r="AC259" s="41"/>
      <c r="AD259" s="41"/>
      <c r="AE259" s="41"/>
      <c r="AF259" s="42"/>
    </row>
    <row r="260" spans="1:32">
      <c r="A260" s="11"/>
      <c r="Y260" s="41"/>
      <c r="Z260" s="41"/>
      <c r="AA260" s="41"/>
      <c r="AB260" s="41"/>
      <c r="AC260" s="41"/>
      <c r="AD260" s="41"/>
      <c r="AE260" s="41"/>
      <c r="AF260" s="42"/>
    </row>
    <row r="261" spans="1:32">
      <c r="A261" s="11"/>
      <c r="Y261" s="41"/>
      <c r="Z261" s="41"/>
      <c r="AA261" s="41"/>
      <c r="AB261" s="41"/>
      <c r="AC261" s="41"/>
      <c r="AD261" s="41"/>
      <c r="AE261" s="41"/>
      <c r="AF261" s="42"/>
    </row>
    <row r="262" spans="1:32">
      <c r="A262" s="11"/>
      <c r="Y262" s="41"/>
      <c r="Z262" s="41"/>
      <c r="AA262" s="41"/>
      <c r="AB262" s="41"/>
      <c r="AC262" s="41"/>
      <c r="AD262" s="41"/>
      <c r="AE262" s="41"/>
      <c r="AF262" s="42"/>
    </row>
    <row r="263" spans="1:32">
      <c r="A263" s="11"/>
      <c r="Y263" s="41"/>
      <c r="Z263" s="41"/>
      <c r="AA263" s="41"/>
      <c r="AB263" s="41"/>
      <c r="AC263" s="41"/>
      <c r="AD263" s="41"/>
      <c r="AE263" s="41"/>
      <c r="AF263" s="42"/>
    </row>
    <row r="264" spans="1:32">
      <c r="A264" s="11"/>
      <c r="Y264" s="41"/>
      <c r="Z264" s="41"/>
      <c r="AA264" s="41"/>
      <c r="AB264" s="41"/>
      <c r="AC264" s="41"/>
      <c r="AD264" s="41"/>
      <c r="AE264" s="41"/>
      <c r="AF264" s="42"/>
    </row>
    <row r="265" spans="1:32">
      <c r="A265" s="11"/>
      <c r="Y265" s="41"/>
      <c r="Z265" s="41"/>
      <c r="AA265" s="41"/>
      <c r="AB265" s="41"/>
      <c r="AC265" s="41"/>
      <c r="AD265" s="41"/>
      <c r="AE265" s="41"/>
      <c r="AF265" s="42"/>
    </row>
    <row r="266" spans="1:32">
      <c r="A266" s="11"/>
      <c r="Y266" s="41"/>
      <c r="Z266" s="41"/>
      <c r="AA266" s="41"/>
      <c r="AB266" s="41"/>
      <c r="AC266" s="41"/>
      <c r="AD266" s="41"/>
      <c r="AE266" s="41"/>
      <c r="AF266" s="42"/>
    </row>
    <row r="267" spans="1:32">
      <c r="A267" s="11"/>
      <c r="Y267" s="41"/>
      <c r="Z267" s="41"/>
      <c r="AA267" s="41"/>
      <c r="AB267" s="41"/>
      <c r="AC267" s="41"/>
      <c r="AD267" s="41"/>
      <c r="AE267" s="41"/>
      <c r="AF267" s="42"/>
    </row>
    <row r="268" spans="1:32">
      <c r="A268" s="11"/>
      <c r="Y268" s="41"/>
      <c r="Z268" s="41"/>
      <c r="AA268" s="41"/>
      <c r="AB268" s="41"/>
      <c r="AC268" s="41"/>
      <c r="AD268" s="41"/>
      <c r="AE268" s="41"/>
      <c r="AF268" s="42"/>
    </row>
    <row r="269" spans="1:32">
      <c r="A269" s="11"/>
      <c r="Y269" s="41"/>
      <c r="Z269" s="41"/>
      <c r="AA269" s="41"/>
      <c r="AB269" s="41"/>
      <c r="AC269" s="41"/>
      <c r="AD269" s="41"/>
      <c r="AE269" s="41"/>
      <c r="AF269" s="42"/>
    </row>
    <row r="270" spans="1:32">
      <c r="A270" s="11"/>
      <c r="Y270" s="41"/>
      <c r="Z270" s="41"/>
      <c r="AA270" s="41"/>
      <c r="AB270" s="41"/>
      <c r="AC270" s="41"/>
      <c r="AD270" s="41"/>
      <c r="AE270" s="41"/>
      <c r="AF270" s="42"/>
    </row>
    <row r="271" spans="1:32">
      <c r="A271" s="11"/>
      <c r="Y271" s="41"/>
      <c r="Z271" s="41"/>
      <c r="AA271" s="41"/>
      <c r="AB271" s="41"/>
      <c r="AC271" s="41"/>
      <c r="AD271" s="41"/>
      <c r="AE271" s="41"/>
      <c r="AF271" s="42"/>
    </row>
    <row r="272" spans="1:32">
      <c r="A272" s="11"/>
      <c r="Y272" s="41"/>
      <c r="Z272" s="41"/>
      <c r="AA272" s="41"/>
      <c r="AB272" s="41"/>
      <c r="AC272" s="41"/>
      <c r="AD272" s="41"/>
      <c r="AE272" s="41"/>
      <c r="AF272" s="42"/>
    </row>
    <row r="273" spans="1:32">
      <c r="A273" s="11"/>
      <c r="Y273" s="41"/>
      <c r="Z273" s="41"/>
      <c r="AA273" s="41"/>
      <c r="AB273" s="41"/>
      <c r="AC273" s="41"/>
      <c r="AD273" s="41"/>
      <c r="AE273" s="41"/>
      <c r="AF273" s="42"/>
    </row>
    <row r="274" spans="1:32">
      <c r="A274" s="11"/>
      <c r="Y274" s="41"/>
      <c r="Z274" s="41"/>
      <c r="AA274" s="41"/>
      <c r="AB274" s="41"/>
      <c r="AC274" s="41"/>
      <c r="AD274" s="41"/>
      <c r="AE274" s="41"/>
      <c r="AF274" s="42"/>
    </row>
    <row r="275" spans="1:32">
      <c r="A275" s="11"/>
      <c r="Y275" s="41"/>
      <c r="Z275" s="41"/>
      <c r="AA275" s="41"/>
      <c r="AB275" s="41"/>
      <c r="AC275" s="41"/>
      <c r="AD275" s="41"/>
      <c r="AE275" s="41"/>
      <c r="AF275" s="42"/>
    </row>
    <row r="276" spans="1:32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43"/>
      <c r="Z276" s="43"/>
      <c r="AA276" s="43"/>
      <c r="AB276" s="43"/>
      <c r="AC276" s="43"/>
      <c r="AD276" s="43"/>
      <c r="AE276" s="43"/>
      <c r="AF276" s="44"/>
    </row>
    <row r="280" spans="1:32" ht="16.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spans="1:3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</row>
    <row r="282" spans="1:32" ht="38.1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39"/>
      <c r="Z283" s="39"/>
      <c r="AA283" s="39"/>
      <c r="AB283" s="39"/>
      <c r="AC283" s="39"/>
      <c r="AD283" s="39"/>
      <c r="AE283" s="39"/>
      <c r="AF283" s="40"/>
    </row>
    <row r="284" spans="1:32">
      <c r="A284" s="11"/>
      <c r="Y284" s="41"/>
      <c r="Z284" s="41"/>
      <c r="AA284" s="41"/>
      <c r="AB284" s="41"/>
      <c r="AC284" s="41"/>
      <c r="AD284" s="41"/>
      <c r="AE284" s="41"/>
      <c r="AF284" s="42"/>
    </row>
    <row r="285" spans="1:32">
      <c r="A285" s="11"/>
      <c r="Y285" s="41"/>
      <c r="Z285" s="41"/>
      <c r="AA285" s="41"/>
      <c r="AB285" s="41"/>
      <c r="AC285" s="41"/>
      <c r="AD285" s="41"/>
      <c r="AE285" s="41"/>
      <c r="AF285" s="42"/>
    </row>
    <row r="286" spans="1:32">
      <c r="A286" s="11"/>
      <c r="Y286" s="41"/>
      <c r="Z286" s="41"/>
      <c r="AA286" s="41"/>
      <c r="AB286" s="41"/>
      <c r="AC286" s="41"/>
      <c r="AD286" s="41"/>
      <c r="AE286" s="41"/>
      <c r="AF286" s="42"/>
    </row>
    <row r="287" spans="1:32">
      <c r="A287" s="11"/>
      <c r="Y287" s="41"/>
      <c r="Z287" s="41"/>
      <c r="AA287" s="41"/>
      <c r="AB287" s="41"/>
      <c r="AC287" s="41"/>
      <c r="AD287" s="41"/>
      <c r="AE287" s="41"/>
      <c r="AF287" s="42"/>
    </row>
    <row r="288" spans="1:32">
      <c r="A288" s="11"/>
      <c r="Y288" s="41"/>
      <c r="Z288" s="41"/>
      <c r="AA288" s="41"/>
      <c r="AB288" s="41"/>
      <c r="AC288" s="41"/>
      <c r="AD288" s="41"/>
      <c r="AE288" s="41"/>
      <c r="AF288" s="42"/>
    </row>
    <row r="289" spans="1:32">
      <c r="A289" s="11"/>
      <c r="Y289" s="41"/>
      <c r="Z289" s="41"/>
      <c r="AA289" s="41"/>
      <c r="AB289" s="41"/>
      <c r="AC289" s="41"/>
      <c r="AD289" s="41"/>
      <c r="AE289" s="41"/>
      <c r="AF289" s="42"/>
    </row>
    <row r="290" spans="1:32">
      <c r="A290" s="11"/>
      <c r="Y290" s="41"/>
      <c r="Z290" s="41"/>
      <c r="AA290" s="41"/>
      <c r="AB290" s="41"/>
      <c r="AC290" s="41"/>
      <c r="AD290" s="41"/>
      <c r="AE290" s="41"/>
      <c r="AF290" s="42"/>
    </row>
    <row r="291" spans="1:32">
      <c r="A291" s="11"/>
      <c r="Y291" s="41"/>
      <c r="Z291" s="41"/>
      <c r="AA291" s="41"/>
      <c r="AB291" s="41"/>
      <c r="AC291" s="41"/>
      <c r="AD291" s="41"/>
      <c r="AE291" s="41"/>
      <c r="AF291" s="42"/>
    </row>
    <row r="292" spans="1:32">
      <c r="A292" s="11"/>
      <c r="Y292" s="41"/>
      <c r="Z292" s="41"/>
      <c r="AA292" s="41"/>
      <c r="AB292" s="41"/>
      <c r="AC292" s="41"/>
      <c r="AD292" s="41"/>
      <c r="AE292" s="41"/>
      <c r="AF292" s="42"/>
    </row>
    <row r="293" spans="1:32">
      <c r="A293" s="11"/>
      <c r="Y293" s="41"/>
      <c r="Z293" s="41"/>
      <c r="AA293" s="41"/>
      <c r="AB293" s="41"/>
      <c r="AC293" s="41"/>
      <c r="AD293" s="41"/>
      <c r="AE293" s="41"/>
      <c r="AF293" s="42"/>
    </row>
    <row r="294" spans="1:32">
      <c r="A294" s="11"/>
      <c r="Y294" s="41"/>
      <c r="Z294" s="41"/>
      <c r="AA294" s="41"/>
      <c r="AB294" s="41"/>
      <c r="AC294" s="41"/>
      <c r="AD294" s="41"/>
      <c r="AE294" s="41"/>
      <c r="AF294" s="42"/>
    </row>
    <row r="295" spans="1:32">
      <c r="A295" s="11"/>
      <c r="Y295" s="41"/>
      <c r="Z295" s="41"/>
      <c r="AA295" s="41"/>
      <c r="AB295" s="41"/>
      <c r="AC295" s="41"/>
      <c r="AD295" s="41"/>
      <c r="AE295" s="41"/>
      <c r="AF295" s="42"/>
    </row>
    <row r="296" spans="1:32">
      <c r="A296" s="11"/>
      <c r="Y296" s="41"/>
      <c r="Z296" s="41"/>
      <c r="AA296" s="41"/>
      <c r="AB296" s="41"/>
      <c r="AC296" s="41"/>
      <c r="AD296" s="41"/>
      <c r="AE296" s="41"/>
      <c r="AF296" s="42"/>
    </row>
    <row r="297" spans="1:32">
      <c r="A297" s="11"/>
      <c r="Y297" s="41"/>
      <c r="Z297" s="41"/>
      <c r="AA297" s="41"/>
      <c r="AB297" s="41"/>
      <c r="AC297" s="41"/>
      <c r="AD297" s="41"/>
      <c r="AE297" s="41"/>
      <c r="AF297" s="42"/>
    </row>
    <row r="298" spans="1:32">
      <c r="A298" s="11"/>
      <c r="Y298" s="41"/>
      <c r="Z298" s="41"/>
      <c r="AA298" s="41"/>
      <c r="AB298" s="41"/>
      <c r="AC298" s="41"/>
      <c r="AD298" s="41"/>
      <c r="AE298" s="41"/>
      <c r="AF298" s="42"/>
    </row>
    <row r="299" spans="1:32">
      <c r="A299" s="11"/>
      <c r="Y299" s="41"/>
      <c r="Z299" s="41"/>
      <c r="AA299" s="41"/>
      <c r="AB299" s="41"/>
      <c r="AC299" s="41"/>
      <c r="AD299" s="41"/>
      <c r="AE299" s="41"/>
      <c r="AF299" s="42"/>
    </row>
    <row r="300" spans="1:32">
      <c r="A300" s="11"/>
      <c r="Y300" s="41"/>
      <c r="Z300" s="41"/>
      <c r="AA300" s="41"/>
      <c r="AB300" s="41"/>
      <c r="AC300" s="41"/>
      <c r="AD300" s="41"/>
      <c r="AE300" s="41"/>
      <c r="AF300" s="42"/>
    </row>
    <row r="301" spans="1:32">
      <c r="A301" s="11"/>
      <c r="Y301" s="41"/>
      <c r="Z301" s="41"/>
      <c r="AA301" s="41"/>
      <c r="AB301" s="41"/>
      <c r="AC301" s="41"/>
      <c r="AD301" s="41"/>
      <c r="AE301" s="41"/>
      <c r="AF301" s="42"/>
    </row>
    <row r="302" spans="1:32">
      <c r="A302" s="11"/>
      <c r="Y302" s="41"/>
      <c r="Z302" s="41"/>
      <c r="AA302" s="41"/>
      <c r="AB302" s="41"/>
      <c r="AC302" s="41"/>
      <c r="AD302" s="41"/>
      <c r="AE302" s="41"/>
      <c r="AF302" s="42"/>
    </row>
    <row r="303" spans="1:32">
      <c r="A303" s="11"/>
      <c r="Y303" s="41"/>
      <c r="Z303" s="41"/>
      <c r="AA303" s="41"/>
      <c r="AB303" s="41"/>
      <c r="AC303" s="41"/>
      <c r="AD303" s="41"/>
      <c r="AE303" s="41"/>
      <c r="AF303" s="42"/>
    </row>
    <row r="304" spans="1:32">
      <c r="A304" s="11"/>
      <c r="Y304" s="41"/>
      <c r="Z304" s="41"/>
      <c r="AA304" s="41"/>
      <c r="AB304" s="41"/>
      <c r="AC304" s="41"/>
      <c r="AD304" s="41"/>
      <c r="AE304" s="41"/>
      <c r="AF304" s="42"/>
    </row>
    <row r="305" spans="1:32">
      <c r="A305" s="11"/>
      <c r="Y305" s="41"/>
      <c r="Z305" s="41"/>
      <c r="AA305" s="41"/>
      <c r="AB305" s="41"/>
      <c r="AC305" s="41"/>
      <c r="AD305" s="41"/>
      <c r="AE305" s="41"/>
      <c r="AF305" s="42"/>
    </row>
    <row r="306" spans="1:32">
      <c r="A306" s="11"/>
      <c r="Y306" s="41"/>
      <c r="Z306" s="41"/>
      <c r="AA306" s="41"/>
      <c r="AB306" s="41"/>
      <c r="AC306" s="41"/>
      <c r="AD306" s="41"/>
      <c r="AE306" s="41"/>
      <c r="AF306" s="42"/>
    </row>
    <row r="307" spans="1:32">
      <c r="A307" s="11"/>
      <c r="Y307" s="41"/>
      <c r="Z307" s="41"/>
      <c r="AA307" s="41"/>
      <c r="AB307" s="41"/>
      <c r="AC307" s="41"/>
      <c r="AD307" s="41"/>
      <c r="AE307" s="41"/>
      <c r="AF307" s="42"/>
    </row>
    <row r="308" spans="1:32">
      <c r="A308" s="11"/>
      <c r="Y308" s="41"/>
      <c r="Z308" s="41"/>
      <c r="AA308" s="41"/>
      <c r="AB308" s="41"/>
      <c r="AC308" s="41"/>
      <c r="AD308" s="41"/>
      <c r="AE308" s="41"/>
      <c r="AF308" s="42"/>
    </row>
    <row r="309" spans="1:32">
      <c r="A309" s="11"/>
      <c r="Y309" s="41"/>
      <c r="Z309" s="41"/>
      <c r="AA309" s="41"/>
      <c r="AB309" s="41"/>
      <c r="AC309" s="41"/>
      <c r="AD309" s="41"/>
      <c r="AE309" s="41"/>
      <c r="AF309" s="42"/>
    </row>
    <row r="310" spans="1:32">
      <c r="A310" s="11"/>
      <c r="Y310" s="41"/>
      <c r="Z310" s="41"/>
      <c r="AA310" s="41"/>
      <c r="AB310" s="41"/>
      <c r="AC310" s="41"/>
      <c r="AD310" s="41"/>
      <c r="AE310" s="41"/>
      <c r="AF310" s="42"/>
    </row>
    <row r="311" spans="1:32">
      <c r="A311" s="11"/>
      <c r="Y311" s="41"/>
      <c r="Z311" s="41"/>
      <c r="AA311" s="41"/>
      <c r="AB311" s="41"/>
      <c r="AC311" s="41"/>
      <c r="AD311" s="41"/>
      <c r="AE311" s="41"/>
      <c r="AF311" s="42"/>
    </row>
    <row r="312" spans="1:32">
      <c r="A312" s="11"/>
      <c r="Y312" s="41"/>
      <c r="Z312" s="41"/>
      <c r="AA312" s="41"/>
      <c r="AB312" s="41"/>
      <c r="AC312" s="41"/>
      <c r="AD312" s="41"/>
      <c r="AE312" s="41"/>
      <c r="AF312" s="42"/>
    </row>
    <row r="313" spans="1:32">
      <c r="A313" s="11"/>
      <c r="Y313" s="41"/>
      <c r="Z313" s="41"/>
      <c r="AA313" s="41"/>
      <c r="AB313" s="41"/>
      <c r="AC313" s="41"/>
      <c r="AD313" s="41"/>
      <c r="AE313" s="41"/>
      <c r="AF313" s="42"/>
    </row>
    <row r="314" spans="1:32">
      <c r="A314" s="11"/>
      <c r="Y314" s="41"/>
      <c r="Z314" s="41"/>
      <c r="AA314" s="41"/>
      <c r="AB314" s="41"/>
      <c r="AC314" s="41"/>
      <c r="AD314" s="41"/>
      <c r="AE314" s="41"/>
      <c r="AF314" s="42"/>
    </row>
    <row r="315" spans="1:32">
      <c r="A315" s="11"/>
      <c r="Y315" s="41"/>
      <c r="Z315" s="41"/>
      <c r="AA315" s="41"/>
      <c r="AB315" s="41"/>
      <c r="AC315" s="41"/>
      <c r="AD315" s="41"/>
      <c r="AE315" s="41"/>
      <c r="AF315" s="42"/>
    </row>
    <row r="316" spans="1:32">
      <c r="A316" s="11"/>
      <c r="Y316" s="41"/>
      <c r="Z316" s="41"/>
      <c r="AA316" s="41"/>
      <c r="AB316" s="41"/>
      <c r="AC316" s="41"/>
      <c r="AD316" s="41"/>
      <c r="AE316" s="41"/>
      <c r="AF316" s="42"/>
    </row>
    <row r="317" spans="1:32">
      <c r="A317" s="11"/>
      <c r="Y317" s="41"/>
      <c r="Z317" s="41"/>
      <c r="AA317" s="41"/>
      <c r="AB317" s="41"/>
      <c r="AC317" s="41"/>
      <c r="AD317" s="41"/>
      <c r="AE317" s="41"/>
      <c r="AF317" s="42"/>
    </row>
    <row r="318" spans="1:32">
      <c r="A318" s="11"/>
      <c r="Y318" s="41"/>
      <c r="Z318" s="41"/>
      <c r="AA318" s="41"/>
      <c r="AB318" s="41"/>
      <c r="AC318" s="41"/>
      <c r="AD318" s="41"/>
      <c r="AE318" s="41"/>
      <c r="AF318" s="42"/>
    </row>
    <row r="319" spans="1:32">
      <c r="A319" s="11"/>
      <c r="Y319" s="41"/>
      <c r="Z319" s="41"/>
      <c r="AA319" s="41"/>
      <c r="AB319" s="41"/>
      <c r="AC319" s="41"/>
      <c r="AD319" s="41"/>
      <c r="AE319" s="41"/>
      <c r="AF319" s="42"/>
    </row>
    <row r="320" spans="1:32">
      <c r="A320" s="11"/>
      <c r="Y320" s="41"/>
      <c r="Z320" s="41"/>
      <c r="AA320" s="41"/>
      <c r="AB320" s="41"/>
      <c r="AC320" s="41"/>
      <c r="AD320" s="41"/>
      <c r="AE320" s="41"/>
      <c r="AF320" s="42"/>
    </row>
    <row r="321" spans="1:32">
      <c r="A321" s="11"/>
      <c r="Y321" s="41"/>
      <c r="Z321" s="41"/>
      <c r="AA321" s="41"/>
      <c r="AB321" s="41"/>
      <c r="AC321" s="41"/>
      <c r="AD321" s="41"/>
      <c r="AE321" s="41"/>
      <c r="AF321" s="42"/>
    </row>
    <row r="322" spans="1:32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43"/>
      <c r="Z322" s="43"/>
      <c r="AA322" s="43"/>
      <c r="AB322" s="43"/>
      <c r="AC322" s="43"/>
      <c r="AD322" s="43"/>
      <c r="AE322" s="43"/>
      <c r="AF322" s="44"/>
    </row>
  </sheetData>
  <mergeCells count="32">
    <mergeCell ref="A143:B143"/>
    <mergeCell ref="C143:X143"/>
    <mergeCell ref="Y143:AF143"/>
    <mergeCell ref="A188:W188"/>
    <mergeCell ref="A189:B189"/>
    <mergeCell ref="C189:O189"/>
    <mergeCell ref="P189:W189"/>
    <mergeCell ref="A96:Z96"/>
    <mergeCell ref="A97:B97"/>
    <mergeCell ref="C97:R97"/>
    <mergeCell ref="S97:Z97"/>
    <mergeCell ref="A142:AF142"/>
    <mergeCell ref="K5:L6"/>
    <mergeCell ref="A50:AF50"/>
    <mergeCell ref="A51:B51"/>
    <mergeCell ref="C51:X51"/>
    <mergeCell ref="Y51:AF51"/>
    <mergeCell ref="F8:L8"/>
    <mergeCell ref="G9:L9"/>
    <mergeCell ref="F19:L22"/>
    <mergeCell ref="A5:B6"/>
    <mergeCell ref="C5:D6"/>
    <mergeCell ref="E5:F6"/>
    <mergeCell ref="G5:H6"/>
    <mergeCell ref="I5:J6"/>
    <mergeCell ref="A1:AG1"/>
    <mergeCell ref="A4:B4"/>
    <mergeCell ref="C4:D4"/>
    <mergeCell ref="E4:F4"/>
    <mergeCell ref="G4:H4"/>
    <mergeCell ref="I4:J4"/>
    <mergeCell ref="K4:L4"/>
  </mergeCells>
  <dataValidations count="2">
    <dataValidation type="list" allowBlank="1" sqref="C9:C48" xr:uid="{00000000-0002-0000-1800-000000000000}">
      <formula1>"نعم,لا"</formula1>
    </dataValidation>
    <dataValidation type="list" allowBlank="1" sqref="G9" xr:uid="{00000000-0002-0000-1800-000001000000}">
      <formula1>$B$9:$B$48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00000000-000E-0000-1800-000045000000}">
            <xm:f>C191=الإعدادات!$H$9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8" id="{00000000-000E-0000-1800-000044000000}">
            <xm:f>C191=الإعدادات!$H$8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67" id="{00000000-000E-0000-1800-000043000000}">
            <xm:f>C191=الإعدادات!$H$7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6" id="{00000000-000E-0000-1800-000042000000}">
            <xm:f>C191=الإعدادات!$H$6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65" id="{00000000-000E-0000-1800-000041000000}">
            <xm:f>C191=الإعدادات!$H$5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64" id="{00000000-000E-0000-1800-000040000000}">
            <xm:f>C191=الإعدادات!$H$4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70" id="{00000000-000E-0000-1800-000046000000}">
            <xm:f>C191=الإعدادات!$H$10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C191:O230</xm:sqref>
        </x14:conditionalFormatting>
        <x14:conditionalFormatting xmlns:xm="http://schemas.microsoft.com/office/excel/2006/main">
          <x14:cfRule type="expression" priority="50" id="{00000000-000E-0000-1800-000032000000}">
            <xm:f>C99=الإعدادات!$H$4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54" id="{00000000-000E-0000-1800-000036000000}">
            <xm:f>C99=الإعدادات!$H$8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6" id="{00000000-000E-0000-1800-000038000000}">
            <xm:f>C99=الإعدادات!$H$10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55" id="{00000000-000E-0000-1800-000037000000}">
            <xm:f>C99=الإعدادات!$H$9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53" id="{00000000-000E-0000-1800-000035000000}">
            <xm:f>C99=الإعدادات!$H$7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52" id="{00000000-000E-0000-1800-000034000000}">
            <xm:f>C99=الإعدادات!$H$6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1" id="{00000000-000E-0000-1800-000033000000}">
            <xm:f>C99=الإعدادات!$H$5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m:sqref>C99:R138</xm:sqref>
        </x14:conditionalFormatting>
        <x14:conditionalFormatting xmlns:xm="http://schemas.microsoft.com/office/excel/2006/main">
          <x14:cfRule type="expression" priority="9" id="{00000000-000E-0000-1800-000009000000}">
            <xm:f>C99=الإعدادات!$H$5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8" id="{00000000-000E-0000-1800-000008000000}">
            <xm:f>C99=الإعدادات!$H$4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0" id="{00000000-000E-0000-1800-00000A000000}">
            <xm:f>C99=الإعدادات!$H$6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1" id="{00000000-000E-0000-1800-00000B000000}">
            <xm:f>C99=الإعدادات!$H$7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2" id="{00000000-000E-0000-1800-00000C000000}">
            <xm:f>C99=الإعدادات!$H$8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3" id="{00000000-000E-0000-1800-00000D000000}">
            <xm:f>C99=الإعدادات!$H$9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14" id="{00000000-000E-0000-1800-00000E000000}">
            <xm:f>C99=الإعدادات!$H$10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m:sqref>C99:V138</xm:sqref>
        </x14:conditionalFormatting>
        <x14:conditionalFormatting xmlns:xm="http://schemas.microsoft.com/office/excel/2006/main">
          <x14:cfRule type="expression" priority="2" id="{00000000-000E-0000-1800-000002000000}">
            <xm:f>C53=الإعدادات!$H$5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" id="{00000000-000E-0000-1800-000003000000}">
            <xm:f>C53=الإعدادات!$H$6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4" id="{00000000-000E-0000-1800-000004000000}">
            <xm:f>C53=الإعدادات!$H$7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5" id="{00000000-000E-0000-1800-000005000000}">
            <xm:f>C53=الإعدادات!$H$8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6" id="{00000000-000E-0000-1800-000006000000}">
            <xm:f>C53=الإعدادات!$H$9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7" id="{00000000-000E-0000-1800-000007000000}">
            <xm:f>C53=الإعدادات!$H$10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" id="{00000000-000E-0000-1800-000001000000}">
            <xm:f>C53=الإعدادات!$H$4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C53:W92</xm:sqref>
        </x14:conditionalFormatting>
        <x14:conditionalFormatting xmlns:xm="http://schemas.microsoft.com/office/excel/2006/main">
          <x14:cfRule type="expression" priority="23" id="{00000000-000E-0000-1800-000017000000}">
            <xm:f>C191=الإعدادات!$H$5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4" id="{00000000-000E-0000-1800-000018000000}">
            <xm:f>C191=الإعدادات!$H$6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25" id="{00000000-000E-0000-1800-000019000000}">
            <xm:f>C191=الإعدادات!$H$7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26" id="{00000000-000E-0000-1800-00001A000000}">
            <xm:f>C191=الإعدادات!$H$8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28" id="{00000000-000E-0000-1800-00001C000000}">
            <xm:f>C191=الإعدادات!$H$10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22" id="{00000000-000E-0000-1800-000016000000}">
            <xm:f>C191=الإعدادات!$H$4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27" id="{00000000-000E-0000-1800-00001B000000}">
            <xm:f>C191=الإعدادات!$H$9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m:sqref>C191:W230</xm:sqref>
        </x14:conditionalFormatting>
        <x14:conditionalFormatting xmlns:xm="http://schemas.microsoft.com/office/excel/2006/main">
          <x14:cfRule type="expression" priority="44" id="{00000000-000E-0000-1800-00002C000000}">
            <xm:f>C53=الإعدادات!$H$5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43" id="{00000000-000E-0000-1800-00002B000000}">
            <xm:f>C53=الإعدادات!$H$4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14:cfRule type="expression" priority="45" id="{00000000-000E-0000-1800-00002D000000}">
            <xm:f>C53=الإعدادات!$H$6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46" id="{00000000-000E-0000-1800-00002E000000}">
            <xm:f>C53=الإعدادات!$H$7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47" id="{00000000-000E-0000-1800-00002F000000}">
            <xm:f>C53=الإعدادات!$H$8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48" id="{00000000-000E-0000-1800-000030000000}">
            <xm:f>C53=الإعدادات!$H$9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49" id="{00000000-000E-0000-1800-000031000000}">
            <xm:f>C53=الإعدادات!$H$10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m:sqref>C53:X92</xm:sqref>
        </x14:conditionalFormatting>
        <x14:conditionalFormatting xmlns:xm="http://schemas.microsoft.com/office/excel/2006/main">
          <x14:cfRule type="expression" priority="62" id="{00000000-000E-0000-1800-00003E000000}">
            <xm:f>C145=الإعدادات!$H$9</xm:f>
            <x14:dxf>
              <font>
                <b/>
                <color rgb="FF174D2D"/>
              </font>
              <fill>
                <patternFill patternType="solid">
                  <bgColor rgb="FFE0F4E8"/>
                </patternFill>
              </fill>
            </x14:dxf>
          </x14:cfRule>
          <x14:cfRule type="expression" priority="60" id="{00000000-000E-0000-1800-00003C000000}">
            <xm:f>C145=الإعدادات!$H$7</xm:f>
            <x14:dxf>
              <font>
                <b/>
                <color rgb="FF7A1732"/>
              </font>
              <fill>
                <patternFill patternType="solid">
                  <bgColor rgb="FFFADBD8"/>
                </patternFill>
              </fill>
            </x14:dxf>
          </x14:cfRule>
          <x14:cfRule type="expression" priority="63" id="{00000000-000E-0000-1800-00003F000000}">
            <xm:f>C145=الإعدادات!$H$10</xm:f>
            <x14:dxf>
              <font>
                <b/>
                <color rgb="FF6B5200"/>
              </font>
              <fill>
                <patternFill patternType="solid">
                  <bgColor rgb="FFFFF0B3"/>
                </patternFill>
              </fill>
            </x14:dxf>
          </x14:cfRule>
          <x14:cfRule type="expression" priority="61" id="{00000000-000E-0000-1800-00003D000000}">
            <xm:f>C145=الإعدادات!$H$8</xm:f>
            <x14:dxf>
              <font>
                <b/>
                <color rgb="FF7A4A00"/>
              </font>
              <fill>
                <patternFill patternType="solid">
                  <bgColor rgb="FFFFECD3"/>
                </patternFill>
              </fill>
            </x14:dxf>
          </x14:cfRule>
          <x14:cfRule type="expression" priority="59" id="{00000000-000E-0000-1800-00003B000000}">
            <xm:f>C145=الإعدادات!$H$6</xm:f>
            <x14:dxf>
              <font>
                <b/>
                <color rgb="FF7A1732"/>
              </font>
              <fill>
                <patternFill patternType="solid">
                  <bgColor rgb="FFFDE1E1"/>
                </patternFill>
              </fill>
            </x14:dxf>
          </x14:cfRule>
          <x14:cfRule type="expression" priority="58" id="{00000000-000E-0000-1800-00003A000000}">
            <xm:f>C145=الإعدادات!$H$5</xm:f>
            <x14:dxf>
              <font>
                <b/>
                <color rgb="FF16324F"/>
              </font>
              <fill>
                <patternFill patternType="solid">
                  <bgColor rgb="FFE5F1FF"/>
                </patternFill>
              </fill>
            </x14:dxf>
          </x14:cfRule>
          <x14:cfRule type="expression" priority="57" id="{00000000-000E-0000-1800-000039000000}">
            <xm:f>C145=الإعدادات!$H$4</xm:f>
            <x14:dxf>
              <font>
                <b/>
                <color rgb="FF5F4B00"/>
              </font>
              <fill>
                <patternFill patternType="solid">
                  <bgColor rgb="FFFFF4C2"/>
                </patternFill>
              </fill>
            </x14:dxf>
          </x14:cfRule>
          <xm:sqref>C145:X184</xm:sqref>
        </x14:conditionalFormatting>
        <x14:conditionalFormatting xmlns:xm="http://schemas.microsoft.com/office/excel/2006/main">
          <x14:cfRule type="expression" priority="35" id="{00000000-000E-0000-1800-000023000000}">
            <xm:f>C237=الإعدادات!$H$10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34" id="{00000000-000E-0000-1800-000022000000}">
            <xm:f>C237=الإعدادات!$H$9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33" id="{00000000-000E-0000-1800-000021000000}">
            <xm:f>C237=الإعدادات!$H$8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2" id="{00000000-000E-0000-1800-000020000000}">
            <xm:f>C237=الإعدادات!$H$7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31" id="{00000000-000E-0000-1800-00001F000000}">
            <xm:f>C237=الإعدادات!$H$6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0" id="{00000000-000E-0000-1800-00001E000000}">
            <xm:f>C237=الإعدادات!$H$5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29" id="{00000000-000E-0000-1800-00001D000000}">
            <xm:f>C237=الإعدادات!$H$4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m:sqref>C237:X276</xm:sqref>
        </x14:conditionalFormatting>
        <x14:conditionalFormatting xmlns:xm="http://schemas.microsoft.com/office/excel/2006/main">
          <x14:cfRule type="expression" priority="36" id="{00000000-000E-0000-1800-000024000000}">
            <xm:f>C283=الإعدادات!$H$4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42" id="{00000000-000E-0000-1800-00002A000000}">
            <xm:f>C283=الإعدادات!$H$10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41" id="{00000000-000E-0000-1800-000029000000}">
            <xm:f>C283=الإعدادات!$H$9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40" id="{00000000-000E-0000-1800-000028000000}">
            <xm:f>C283=الإعدادات!$H$8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38" id="{00000000-000E-0000-1800-000026000000}">
            <xm:f>C283=الإعدادات!$H$6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37" id="{00000000-000E-0000-1800-000025000000}">
            <xm:f>C283=الإعدادات!$H$5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14:cfRule type="expression" priority="39" id="{00000000-000E-0000-1800-000027000000}">
            <xm:f>C283=الإعدادات!$H$7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m:sqref>C283:X322</xm:sqref>
        </x14:conditionalFormatting>
        <x14:conditionalFormatting xmlns:xm="http://schemas.microsoft.com/office/excel/2006/main">
          <x14:cfRule type="expression" priority="20" id="{00000000-000E-0000-1800-000014000000}">
            <xm:f>C145=الإعدادات!$H$9</xm:f>
            <x14:dxf>
              <font>
                <b/>
                <color rgb="FF174D2D"/>
              </font>
              <fill>
                <patternFill>
                  <bgColor rgb="FFE0F4E8"/>
                </patternFill>
              </fill>
            </x14:dxf>
          </x14:cfRule>
          <x14:cfRule type="expression" priority="21" id="{00000000-000E-0000-1800-000015000000}">
            <xm:f>C145=الإعدادات!$H$10</xm:f>
            <x14:dxf>
              <font>
                <b/>
                <color rgb="FF6B5200"/>
              </font>
              <fill>
                <patternFill>
                  <bgColor rgb="FFFFF0B3"/>
                </patternFill>
              </fill>
            </x14:dxf>
          </x14:cfRule>
          <x14:cfRule type="expression" priority="15" id="{00000000-000E-0000-1800-00000F000000}">
            <xm:f>C145=الإعدادات!$H$4</xm:f>
            <x14:dxf>
              <font>
                <b/>
                <color rgb="FF5F4B00"/>
              </font>
              <fill>
                <patternFill>
                  <bgColor rgb="FFFFF4C2"/>
                </patternFill>
              </fill>
            </x14:dxf>
          </x14:cfRule>
          <x14:cfRule type="expression" priority="19" id="{00000000-000E-0000-1800-000013000000}">
            <xm:f>C145=الإعدادات!$H$8</xm:f>
            <x14:dxf>
              <font>
                <b/>
                <color rgb="FF7A4A00"/>
              </font>
              <fill>
                <patternFill>
                  <bgColor rgb="FFFFECD3"/>
                </patternFill>
              </fill>
            </x14:dxf>
          </x14:cfRule>
          <x14:cfRule type="expression" priority="18" id="{00000000-000E-0000-1800-000012000000}">
            <xm:f>C145=الإعدادات!$H$7</xm:f>
            <x14:dxf>
              <font>
                <b/>
                <color rgb="FF7A1732"/>
              </font>
              <fill>
                <patternFill>
                  <bgColor rgb="FFFADBD8"/>
                </patternFill>
              </fill>
            </x14:dxf>
          </x14:cfRule>
          <x14:cfRule type="expression" priority="17" id="{00000000-000E-0000-1800-000011000000}">
            <xm:f>C145=الإعدادات!$H$6</xm:f>
            <x14:dxf>
              <font>
                <b/>
                <color rgb="FF7A1732"/>
              </font>
              <fill>
                <patternFill>
                  <bgColor rgb="FFFDE1E1"/>
                </patternFill>
              </fill>
            </x14:dxf>
          </x14:cfRule>
          <x14:cfRule type="expression" priority="16" id="{00000000-000E-0000-1800-000010000000}">
            <xm:f>C145=الإعدادات!$H$5</xm:f>
            <x14:dxf>
              <font>
                <b/>
                <color rgb="FF16324F"/>
              </font>
              <fill>
                <patternFill>
                  <bgColor rgb="FFE5F1FF"/>
                </patternFill>
              </fill>
            </x14:dxf>
          </x14:cfRule>
          <xm:sqref>C145:Y184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خيار التقييم" error="اختر قيمة من القائمة أو اترك الخلية فارغة." xr:uid="{00000000-0002-0000-1800-000002000000}">
          <x14:formula1>
            <xm:f>الإعدادات!$H$4:$H$10</xm:f>
          </x14:formula1>
          <xm:sqref>C53:X92 C191:O230 C99:R138 C145:X184</xm:sqref>
        </x14:dataValidation>
        <x14:dataValidation type="list" allowBlank="1" xr:uid="{00000000-0002-0000-1800-000003000000}">
          <x14:formula1>
            <xm:f>الإعدادات!$H$4:$H$10</xm:f>
          </x14:formula1>
          <xm:sqref>C99:W138 C191:Y230</xm:sqref>
        </x14:dataValidation>
        <x14:dataValidation type="list" allowBlank="1" showErrorMessage="1" errorTitle="خيار التقييم" error="اختر قيمة من قائمة التقييم أو اترك الخلية فارغة." xr:uid="{00000000-0002-0000-1800-000006000000}">
          <x14:formula1>
            <xm:f>الإعدادات!$H$4:$H$10</xm:f>
          </x14:formula1>
          <xm:sqref>C53:W92 C283:X322 C237:X276 C191:W230 C145:Y184 C99:V138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2dcae639-d4a4-4454-82c7-592ab66fc7bd}" enabled="0" method="" siteId="{2dcae639-d4a4-4454-82c7-592ab66fc7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لوحة التحكم</vt:lpstr>
      <vt:lpstr>الإعدادات</vt:lpstr>
      <vt:lpstr>دليل الاستخدام</vt:lpstr>
      <vt:lpstr>إعداد الشعب</vt:lpstr>
      <vt:lpstr>لوحة الشعب</vt:lpstr>
      <vt:lpstr>شعبة 01</vt:lpstr>
      <vt:lpstr>شعبة 02</vt:lpstr>
      <vt:lpstr>شعبة 03</vt:lpstr>
      <vt:lpstr>شعبة 04</vt:lpstr>
      <vt:lpstr>شعبة 05</vt:lpstr>
      <vt:lpstr>شعبة 06</vt:lpstr>
      <vt:lpstr>شعبة 07</vt:lpstr>
      <vt:lpstr>شعبة 08</vt:lpstr>
      <vt:lpstr>شعبة 09</vt:lpstr>
      <vt:lpstr>شعبة 10</vt:lpstr>
      <vt:lpstr>شعبة 11</vt:lpstr>
      <vt:lpstr>شعبة 12</vt:lpstr>
      <vt:lpstr>شعبة 13</vt:lpstr>
      <vt:lpstr>شعبة 14</vt:lpstr>
      <vt:lpstr>شعبة 15</vt:lpstr>
      <vt:lpstr>شعبة 16</vt:lpstr>
      <vt:lpstr>شعبة 17</vt:lpstr>
      <vt:lpstr>شعبة 18</vt:lpstr>
      <vt:lpstr>شعبة 19</vt:lpstr>
      <vt:lpstr>شعبة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سامر نصر سليمان  جديع</dc:creator>
  <cp:lastModifiedBy>جمال ادم</cp:lastModifiedBy>
  <dcterms:created xsi:type="dcterms:W3CDTF">2026-09-10T14:04:29Z</dcterms:created>
  <dcterms:modified xsi:type="dcterms:W3CDTF">2026-09-24T05:16:47Z</dcterms:modified>
</cp:coreProperties>
</file>